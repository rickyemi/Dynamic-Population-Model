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o\Downloads\DPM+1\data\"/>
    </mc:Choice>
  </mc:AlternateContent>
  <xr:revisionPtr revIDLastSave="0" documentId="8_{B4E4023F-860F-4C4D-9FDA-D0350F358F82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Detailed Results ALL.T DIFF_ALL" sheetId="1" r:id="rId1"/>
    <sheet name="Pivot and Calcs" sheetId="2" r:id="rId2"/>
    <sheet name="Detailed 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8" i="3" l="1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L156" i="3" s="1"/>
  <c r="J155" i="3"/>
  <c r="L155" i="3" s="1"/>
  <c r="J154" i="3"/>
  <c r="J153" i="3"/>
  <c r="J152" i="3"/>
  <c r="L152" i="3" s="1"/>
  <c r="J151" i="3"/>
  <c r="L151" i="3" s="1"/>
  <c r="J150" i="3"/>
  <c r="L150" i="3" s="1"/>
  <c r="J149" i="3"/>
  <c r="J148" i="3"/>
  <c r="L148" i="3" s="1"/>
  <c r="J147" i="3"/>
  <c r="L147" i="3" s="1"/>
  <c r="J146" i="3"/>
  <c r="L146" i="3" s="1"/>
  <c r="J145" i="3"/>
  <c r="L145" i="3" s="1"/>
  <c r="J144" i="3"/>
  <c r="L144" i="3" s="1"/>
  <c r="J143" i="3"/>
  <c r="L143" i="3" s="1"/>
  <c r="J142" i="3"/>
  <c r="L142" i="3" s="1"/>
  <c r="J141" i="3"/>
  <c r="L141" i="3" s="1"/>
  <c r="J140" i="3"/>
  <c r="L140" i="3" s="1"/>
  <c r="J139" i="3"/>
  <c r="L139" i="3" s="1"/>
  <c r="J138" i="3"/>
  <c r="L138" i="3" s="1"/>
  <c r="J137" i="3"/>
  <c r="L137" i="3" s="1"/>
  <c r="J136" i="3"/>
  <c r="L136" i="3" s="1"/>
  <c r="J135" i="3"/>
  <c r="L135" i="3" s="1"/>
  <c r="J134" i="3"/>
  <c r="L134" i="3" s="1"/>
  <c r="J133" i="3"/>
  <c r="L133" i="3" s="1"/>
  <c r="J132" i="3"/>
  <c r="L132" i="3" s="1"/>
  <c r="J131" i="3"/>
  <c r="L131" i="3" s="1"/>
  <c r="J130" i="3"/>
  <c r="L130" i="3" s="1"/>
  <c r="J129" i="3"/>
  <c r="L129" i="3" s="1"/>
  <c r="J128" i="3"/>
  <c r="L128" i="3" s="1"/>
  <c r="J127" i="3"/>
  <c r="L127" i="3" s="1"/>
  <c r="J126" i="3"/>
  <c r="L126" i="3" s="1"/>
  <c r="J125" i="3"/>
  <c r="L125" i="3" s="1"/>
  <c r="J124" i="3"/>
  <c r="L124" i="3" s="1"/>
  <c r="J123" i="3"/>
  <c r="L123" i="3" s="1"/>
  <c r="J122" i="3"/>
  <c r="L122" i="3" s="1"/>
  <c r="J121" i="3"/>
  <c r="L121" i="3" s="1"/>
  <c r="J120" i="3"/>
  <c r="L120" i="3" s="1"/>
  <c r="J119" i="3"/>
  <c r="L119" i="3" s="1"/>
  <c r="J118" i="3"/>
  <c r="L118" i="3" s="1"/>
  <c r="J117" i="3"/>
  <c r="L117" i="3" s="1"/>
  <c r="J116" i="3"/>
  <c r="L116" i="3" s="1"/>
  <c r="J115" i="3"/>
  <c r="L115" i="3" s="1"/>
  <c r="J114" i="3"/>
  <c r="L114" i="3" s="1"/>
  <c r="J113" i="3"/>
  <c r="L113" i="3" s="1"/>
  <c r="J112" i="3"/>
  <c r="L112" i="3" s="1"/>
  <c r="J111" i="3"/>
  <c r="L111" i="3" s="1"/>
  <c r="J110" i="3"/>
  <c r="L110" i="3" s="1"/>
  <c r="J109" i="3"/>
  <c r="L109" i="3" s="1"/>
  <c r="J108" i="3"/>
  <c r="L108" i="3" s="1"/>
  <c r="J107" i="3"/>
  <c r="L107" i="3" s="1"/>
  <c r="J106" i="3"/>
  <c r="L106" i="3" s="1"/>
  <c r="J105" i="3"/>
  <c r="L105" i="3" s="1"/>
  <c r="J104" i="3"/>
  <c r="L104" i="3" s="1"/>
  <c r="J103" i="3"/>
  <c r="L103" i="3" s="1"/>
  <c r="J102" i="3"/>
  <c r="L102" i="3" s="1"/>
  <c r="J101" i="3"/>
  <c r="L101" i="3" s="1"/>
  <c r="J100" i="3"/>
  <c r="L100" i="3" s="1"/>
  <c r="J99" i="3"/>
  <c r="L99" i="3" s="1"/>
  <c r="J98" i="3"/>
  <c r="L98" i="3" s="1"/>
  <c r="J97" i="3"/>
  <c r="L97" i="3" s="1"/>
  <c r="J96" i="3"/>
  <c r="L96" i="3" s="1"/>
  <c r="J95" i="3"/>
  <c r="L95" i="3" s="1"/>
  <c r="J94" i="3"/>
  <c r="L94" i="3" s="1"/>
  <c r="J93" i="3"/>
  <c r="L93" i="3" s="1"/>
  <c r="J92" i="3"/>
  <c r="L92" i="3" s="1"/>
  <c r="J91" i="3"/>
  <c r="L91" i="3" s="1"/>
  <c r="J90" i="3"/>
  <c r="L90" i="3" s="1"/>
  <c r="J89" i="3"/>
  <c r="L89" i="3" s="1"/>
  <c r="J88" i="3"/>
  <c r="L88" i="3" s="1"/>
  <c r="J87" i="3"/>
  <c r="L87" i="3" s="1"/>
  <c r="J86" i="3"/>
  <c r="L86" i="3" s="1"/>
  <c r="L85" i="3"/>
  <c r="J85" i="3"/>
  <c r="J84" i="3"/>
  <c r="L84" i="3" s="1"/>
  <c r="J83" i="3"/>
  <c r="L83" i="3" s="1"/>
  <c r="J82" i="3"/>
  <c r="L82" i="3" s="1"/>
  <c r="J81" i="3"/>
  <c r="L81" i="3" s="1"/>
  <c r="J80" i="3"/>
  <c r="L80" i="3" s="1"/>
  <c r="J79" i="3"/>
  <c r="L79" i="3" s="1"/>
  <c r="J78" i="3"/>
  <c r="L78" i="3" s="1"/>
  <c r="J77" i="3"/>
  <c r="L77" i="3" s="1"/>
  <c r="J76" i="3"/>
  <c r="L76" i="3" s="1"/>
  <c r="J75" i="3"/>
  <c r="L75" i="3" s="1"/>
  <c r="J74" i="3"/>
  <c r="L74" i="3" s="1"/>
  <c r="J73" i="3"/>
  <c r="L73" i="3" s="1"/>
  <c r="J72" i="3"/>
  <c r="L72" i="3" s="1"/>
  <c r="J71" i="3"/>
  <c r="L71" i="3" s="1"/>
  <c r="J70" i="3"/>
  <c r="L70" i="3" s="1"/>
  <c r="J69" i="3"/>
  <c r="L69" i="3" s="1"/>
  <c r="J68" i="3"/>
  <c r="L68" i="3" s="1"/>
  <c r="J67" i="3"/>
  <c r="L67" i="3" s="1"/>
  <c r="J66" i="3"/>
  <c r="L66" i="3" s="1"/>
  <c r="J65" i="3"/>
  <c r="L65" i="3" s="1"/>
  <c r="J64" i="3"/>
  <c r="L64" i="3" s="1"/>
  <c r="J63" i="3"/>
  <c r="L63" i="3" s="1"/>
  <c r="J62" i="3"/>
  <c r="L62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Y92" i="2"/>
  <c r="S92" i="2"/>
  <c r="T92" i="2" s="1"/>
  <c r="L92" i="2"/>
  <c r="K92" i="2"/>
  <c r="J92" i="2"/>
  <c r="D92" i="2"/>
  <c r="X92" i="2" s="1"/>
  <c r="C92" i="2"/>
  <c r="W92" i="2" s="1"/>
  <c r="B92" i="2"/>
  <c r="V92" i="2" s="1"/>
  <c r="A92" i="2"/>
  <c r="Y91" i="2"/>
  <c r="S91" i="2"/>
  <c r="T91" i="2" s="1"/>
  <c r="L91" i="2"/>
  <c r="K91" i="2"/>
  <c r="J91" i="2"/>
  <c r="D91" i="2"/>
  <c r="X91" i="2" s="1"/>
  <c r="C91" i="2"/>
  <c r="W91" i="2" s="1"/>
  <c r="B91" i="2"/>
  <c r="V91" i="2" s="1"/>
  <c r="A91" i="2"/>
  <c r="Y90" i="2"/>
  <c r="S90" i="2"/>
  <c r="T90" i="2" s="1"/>
  <c r="L90" i="2"/>
  <c r="K90" i="2"/>
  <c r="J90" i="2"/>
  <c r="D90" i="2"/>
  <c r="X90" i="2" s="1"/>
  <c r="C90" i="2"/>
  <c r="W90" i="2" s="1"/>
  <c r="B90" i="2"/>
  <c r="V90" i="2" s="1"/>
  <c r="A90" i="2"/>
  <c r="Y89" i="2"/>
  <c r="S89" i="2"/>
  <c r="T89" i="2" s="1"/>
  <c r="L89" i="2"/>
  <c r="K89" i="2"/>
  <c r="J89" i="2"/>
  <c r="D89" i="2"/>
  <c r="X89" i="2" s="1"/>
  <c r="C89" i="2"/>
  <c r="W89" i="2" s="1"/>
  <c r="B89" i="2"/>
  <c r="V89" i="2" s="1"/>
  <c r="A89" i="2"/>
  <c r="Y88" i="2"/>
  <c r="S88" i="2"/>
  <c r="T88" i="2" s="1"/>
  <c r="L88" i="2"/>
  <c r="K88" i="2"/>
  <c r="J88" i="2"/>
  <c r="D88" i="2"/>
  <c r="X88" i="2" s="1"/>
  <c r="C88" i="2"/>
  <c r="W88" i="2" s="1"/>
  <c r="B88" i="2"/>
  <c r="V88" i="2" s="1"/>
  <c r="A88" i="2"/>
  <c r="Y87" i="2"/>
  <c r="S87" i="2"/>
  <c r="T87" i="2" s="1"/>
  <c r="L87" i="2"/>
  <c r="K87" i="2"/>
  <c r="J87" i="2"/>
  <c r="D87" i="2"/>
  <c r="X87" i="2" s="1"/>
  <c r="C87" i="2"/>
  <c r="W87" i="2" s="1"/>
  <c r="B87" i="2"/>
  <c r="V87" i="2" s="1"/>
  <c r="A87" i="2"/>
  <c r="Y86" i="2"/>
  <c r="S86" i="2"/>
  <c r="T86" i="2" s="1"/>
  <c r="L86" i="2"/>
  <c r="K86" i="2"/>
  <c r="J86" i="2"/>
  <c r="D86" i="2"/>
  <c r="X86" i="2" s="1"/>
  <c r="C86" i="2"/>
  <c r="W86" i="2" s="1"/>
  <c r="B86" i="2"/>
  <c r="V86" i="2" s="1"/>
  <c r="A86" i="2"/>
  <c r="Y85" i="2"/>
  <c r="S85" i="2"/>
  <c r="T85" i="2" s="1"/>
  <c r="L85" i="2"/>
  <c r="K85" i="2"/>
  <c r="J85" i="2"/>
  <c r="D85" i="2"/>
  <c r="X85" i="2" s="1"/>
  <c r="C85" i="2"/>
  <c r="W85" i="2" s="1"/>
  <c r="B85" i="2"/>
  <c r="V85" i="2" s="1"/>
  <c r="A85" i="2"/>
  <c r="Y84" i="2"/>
  <c r="S84" i="2"/>
  <c r="T84" i="2" s="1"/>
  <c r="L84" i="2"/>
  <c r="K84" i="2"/>
  <c r="J84" i="2"/>
  <c r="D84" i="2"/>
  <c r="X84" i="2" s="1"/>
  <c r="C84" i="2"/>
  <c r="W84" i="2" s="1"/>
  <c r="B84" i="2"/>
  <c r="V84" i="2" s="1"/>
  <c r="A84" i="2"/>
  <c r="Y83" i="2"/>
  <c r="S83" i="2"/>
  <c r="T83" i="2" s="1"/>
  <c r="L83" i="2"/>
  <c r="K83" i="2"/>
  <c r="J83" i="2"/>
  <c r="D83" i="2"/>
  <c r="X83" i="2" s="1"/>
  <c r="C83" i="2"/>
  <c r="W83" i="2" s="1"/>
  <c r="B83" i="2"/>
  <c r="V83" i="2" s="1"/>
  <c r="A83" i="2"/>
  <c r="Y82" i="2"/>
  <c r="S82" i="2"/>
  <c r="T82" i="2" s="1"/>
  <c r="L82" i="2"/>
  <c r="K82" i="2"/>
  <c r="J82" i="2"/>
  <c r="D82" i="2"/>
  <c r="X82" i="2" s="1"/>
  <c r="C82" i="2"/>
  <c r="W82" i="2" s="1"/>
  <c r="B82" i="2"/>
  <c r="V82" i="2" s="1"/>
  <c r="A82" i="2"/>
  <c r="Y81" i="2"/>
  <c r="S81" i="2"/>
  <c r="T81" i="2" s="1"/>
  <c r="L81" i="2"/>
  <c r="K81" i="2"/>
  <c r="J81" i="2"/>
  <c r="D81" i="2"/>
  <c r="X81" i="2" s="1"/>
  <c r="C81" i="2"/>
  <c r="W81" i="2" s="1"/>
  <c r="B81" i="2"/>
  <c r="V81" i="2" s="1"/>
  <c r="A81" i="2"/>
  <c r="Y80" i="2"/>
  <c r="S80" i="2"/>
  <c r="T80" i="2" s="1"/>
  <c r="L80" i="2"/>
  <c r="K80" i="2"/>
  <c r="J80" i="2"/>
  <c r="D80" i="2"/>
  <c r="X80" i="2" s="1"/>
  <c r="C80" i="2"/>
  <c r="W80" i="2" s="1"/>
  <c r="B80" i="2"/>
  <c r="V80" i="2" s="1"/>
  <c r="A80" i="2"/>
  <c r="Y79" i="2"/>
  <c r="S79" i="2"/>
  <c r="T79" i="2" s="1"/>
  <c r="L79" i="2"/>
  <c r="K79" i="2"/>
  <c r="J79" i="2"/>
  <c r="D79" i="2"/>
  <c r="X79" i="2" s="1"/>
  <c r="C79" i="2"/>
  <c r="W79" i="2" s="1"/>
  <c r="B79" i="2"/>
  <c r="V79" i="2" s="1"/>
  <c r="A79" i="2"/>
  <c r="Y78" i="2"/>
  <c r="S78" i="2"/>
  <c r="T78" i="2" s="1"/>
  <c r="L78" i="2"/>
  <c r="K78" i="2"/>
  <c r="J78" i="2"/>
  <c r="D78" i="2"/>
  <c r="X78" i="2" s="1"/>
  <c r="C78" i="2"/>
  <c r="W78" i="2" s="1"/>
  <c r="B78" i="2"/>
  <c r="V78" i="2" s="1"/>
  <c r="A78" i="2"/>
  <c r="Y77" i="2"/>
  <c r="S77" i="2"/>
  <c r="T77" i="2" s="1"/>
  <c r="L77" i="2"/>
  <c r="K77" i="2"/>
  <c r="J77" i="2"/>
  <c r="D77" i="2"/>
  <c r="X77" i="2" s="1"/>
  <c r="C77" i="2"/>
  <c r="W77" i="2" s="1"/>
  <c r="B77" i="2"/>
  <c r="V77" i="2" s="1"/>
  <c r="A77" i="2"/>
  <c r="Y76" i="2"/>
  <c r="S76" i="2"/>
  <c r="T76" i="2" s="1"/>
  <c r="L76" i="2"/>
  <c r="K76" i="2"/>
  <c r="J76" i="2"/>
  <c r="D76" i="2"/>
  <c r="X76" i="2" s="1"/>
  <c r="C76" i="2"/>
  <c r="W76" i="2" s="1"/>
  <c r="B76" i="2"/>
  <c r="V76" i="2" s="1"/>
  <c r="A76" i="2"/>
  <c r="Y75" i="2"/>
  <c r="S75" i="2"/>
  <c r="T75" i="2" s="1"/>
  <c r="L75" i="2"/>
  <c r="K75" i="2"/>
  <c r="J75" i="2"/>
  <c r="D75" i="2"/>
  <c r="X75" i="2" s="1"/>
  <c r="C75" i="2"/>
  <c r="W75" i="2" s="1"/>
  <c r="B75" i="2"/>
  <c r="V75" i="2" s="1"/>
  <c r="A75" i="2"/>
  <c r="Y74" i="2"/>
  <c r="S74" i="2"/>
  <c r="T74" i="2" s="1"/>
  <c r="L74" i="2"/>
  <c r="K74" i="2"/>
  <c r="J74" i="2"/>
  <c r="D74" i="2"/>
  <c r="X74" i="2" s="1"/>
  <c r="C74" i="2"/>
  <c r="W74" i="2" s="1"/>
  <c r="B74" i="2"/>
  <c r="V74" i="2" s="1"/>
  <c r="A74" i="2"/>
  <c r="Y73" i="2"/>
  <c r="S73" i="2"/>
  <c r="T73" i="2" s="1"/>
  <c r="L73" i="2"/>
  <c r="K73" i="2"/>
  <c r="J73" i="2"/>
  <c r="D73" i="2"/>
  <c r="X73" i="2" s="1"/>
  <c r="C73" i="2"/>
  <c r="W73" i="2" s="1"/>
  <c r="B73" i="2"/>
  <c r="V73" i="2" s="1"/>
  <c r="A73" i="2"/>
  <c r="Y72" i="2"/>
  <c r="S72" i="2"/>
  <c r="T72" i="2" s="1"/>
  <c r="L72" i="2"/>
  <c r="K72" i="2"/>
  <c r="J72" i="2"/>
  <c r="D72" i="2"/>
  <c r="X72" i="2" s="1"/>
  <c r="C72" i="2"/>
  <c r="W72" i="2" s="1"/>
  <c r="B72" i="2"/>
  <c r="V72" i="2" s="1"/>
  <c r="A72" i="2"/>
  <c r="Y71" i="2"/>
  <c r="S71" i="2"/>
  <c r="T71" i="2" s="1"/>
  <c r="L71" i="2"/>
  <c r="K71" i="2"/>
  <c r="J71" i="2"/>
  <c r="D71" i="2"/>
  <c r="X71" i="2" s="1"/>
  <c r="C71" i="2"/>
  <c r="W71" i="2" s="1"/>
  <c r="B71" i="2"/>
  <c r="V71" i="2" s="1"/>
  <c r="A71" i="2"/>
  <c r="Y70" i="2"/>
  <c r="S70" i="2"/>
  <c r="T70" i="2" s="1"/>
  <c r="L70" i="2"/>
  <c r="K70" i="2"/>
  <c r="J70" i="2"/>
  <c r="D70" i="2"/>
  <c r="X70" i="2" s="1"/>
  <c r="C70" i="2"/>
  <c r="W70" i="2" s="1"/>
  <c r="B70" i="2"/>
  <c r="V70" i="2" s="1"/>
  <c r="A70" i="2"/>
  <c r="Y69" i="2"/>
  <c r="S69" i="2"/>
  <c r="T69" i="2" s="1"/>
  <c r="L69" i="2"/>
  <c r="K69" i="2"/>
  <c r="J69" i="2"/>
  <c r="D69" i="2"/>
  <c r="X69" i="2" s="1"/>
  <c r="C69" i="2"/>
  <c r="W69" i="2" s="1"/>
  <c r="B69" i="2"/>
  <c r="V69" i="2" s="1"/>
  <c r="A69" i="2"/>
  <c r="Y68" i="2"/>
  <c r="S68" i="2"/>
  <c r="T68" i="2" s="1"/>
  <c r="L68" i="2"/>
  <c r="K68" i="2"/>
  <c r="J68" i="2"/>
  <c r="D68" i="2"/>
  <c r="X68" i="2" s="1"/>
  <c r="C68" i="2"/>
  <c r="W68" i="2" s="1"/>
  <c r="B68" i="2"/>
  <c r="V68" i="2" s="1"/>
  <c r="A68" i="2"/>
  <c r="Y67" i="2"/>
  <c r="S67" i="2"/>
  <c r="T67" i="2" s="1"/>
  <c r="L67" i="2"/>
  <c r="K67" i="2"/>
  <c r="J67" i="2"/>
  <c r="D67" i="2"/>
  <c r="X67" i="2" s="1"/>
  <c r="C67" i="2"/>
  <c r="W67" i="2" s="1"/>
  <c r="B67" i="2"/>
  <c r="V67" i="2" s="1"/>
  <c r="A67" i="2"/>
  <c r="Y66" i="2"/>
  <c r="S66" i="2"/>
  <c r="T66" i="2" s="1"/>
  <c r="L66" i="2"/>
  <c r="K66" i="2"/>
  <c r="J66" i="2"/>
  <c r="D66" i="2"/>
  <c r="X66" i="2" s="1"/>
  <c r="C66" i="2"/>
  <c r="W66" i="2" s="1"/>
  <c r="B66" i="2"/>
  <c r="V66" i="2" s="1"/>
  <c r="A66" i="2"/>
  <c r="Y65" i="2"/>
  <c r="S65" i="2"/>
  <c r="T65" i="2" s="1"/>
  <c r="L65" i="2"/>
  <c r="K65" i="2"/>
  <c r="J65" i="2"/>
  <c r="D65" i="2"/>
  <c r="X65" i="2" s="1"/>
  <c r="C65" i="2"/>
  <c r="W65" i="2" s="1"/>
  <c r="B65" i="2"/>
  <c r="V65" i="2" s="1"/>
  <c r="A65" i="2"/>
  <c r="Y64" i="2"/>
  <c r="S64" i="2"/>
  <c r="T64" i="2" s="1"/>
  <c r="L64" i="2"/>
  <c r="K64" i="2"/>
  <c r="J64" i="2"/>
  <c r="D64" i="2"/>
  <c r="X64" i="2" s="1"/>
  <c r="C64" i="2"/>
  <c r="W64" i="2" s="1"/>
  <c r="B64" i="2"/>
  <c r="V64" i="2" s="1"/>
  <c r="A64" i="2"/>
  <c r="Y63" i="2"/>
  <c r="S63" i="2"/>
  <c r="T63" i="2" s="1"/>
  <c r="L63" i="2"/>
  <c r="K63" i="2"/>
  <c r="J63" i="2"/>
  <c r="D63" i="2"/>
  <c r="X63" i="2" s="1"/>
  <c r="C63" i="2"/>
  <c r="W63" i="2" s="1"/>
  <c r="B63" i="2"/>
  <c r="V63" i="2" s="1"/>
  <c r="A63" i="2"/>
  <c r="Y62" i="2"/>
  <c r="S62" i="2"/>
  <c r="T62" i="2" s="1"/>
  <c r="L62" i="2"/>
  <c r="K62" i="2"/>
  <c r="J62" i="2"/>
  <c r="D62" i="2"/>
  <c r="X62" i="2" s="1"/>
  <c r="C62" i="2"/>
  <c r="W62" i="2" s="1"/>
  <c r="B62" i="2"/>
  <c r="V62" i="2" s="1"/>
  <c r="A62" i="2"/>
  <c r="Y61" i="2"/>
  <c r="S61" i="2"/>
  <c r="T61" i="2" s="1"/>
  <c r="L61" i="2"/>
  <c r="K61" i="2"/>
  <c r="J61" i="2"/>
  <c r="D61" i="2"/>
  <c r="X61" i="2" s="1"/>
  <c r="C61" i="2"/>
  <c r="W61" i="2" s="1"/>
  <c r="B61" i="2"/>
  <c r="V61" i="2" s="1"/>
  <c r="A61" i="2"/>
  <c r="Y60" i="2"/>
  <c r="S60" i="2"/>
  <c r="T60" i="2" s="1"/>
  <c r="L60" i="2"/>
  <c r="K60" i="2"/>
  <c r="J60" i="2"/>
  <c r="D60" i="2"/>
  <c r="X60" i="2" s="1"/>
  <c r="C60" i="2"/>
  <c r="W60" i="2" s="1"/>
  <c r="B60" i="2"/>
  <c r="V60" i="2" s="1"/>
  <c r="A60" i="2"/>
  <c r="Y59" i="2"/>
  <c r="S59" i="2"/>
  <c r="T59" i="2" s="1"/>
  <c r="L59" i="2"/>
  <c r="K59" i="2"/>
  <c r="J59" i="2"/>
  <c r="D59" i="2"/>
  <c r="X59" i="2" s="1"/>
  <c r="C59" i="2"/>
  <c r="W59" i="2" s="1"/>
  <c r="B59" i="2"/>
  <c r="V59" i="2" s="1"/>
  <c r="A59" i="2"/>
  <c r="Y58" i="2"/>
  <c r="S58" i="2"/>
  <c r="T58" i="2" s="1"/>
  <c r="L58" i="2"/>
  <c r="K58" i="2"/>
  <c r="J58" i="2"/>
  <c r="D58" i="2"/>
  <c r="X58" i="2" s="1"/>
  <c r="C58" i="2"/>
  <c r="W58" i="2" s="1"/>
  <c r="B58" i="2"/>
  <c r="V58" i="2" s="1"/>
  <c r="A58" i="2"/>
  <c r="Y57" i="2"/>
  <c r="S57" i="2"/>
  <c r="T57" i="2" s="1"/>
  <c r="L57" i="2"/>
  <c r="K57" i="2"/>
  <c r="J57" i="2"/>
  <c r="D57" i="2"/>
  <c r="X57" i="2" s="1"/>
  <c r="C57" i="2"/>
  <c r="W57" i="2" s="1"/>
  <c r="B57" i="2"/>
  <c r="V57" i="2" s="1"/>
  <c r="A57" i="2"/>
  <c r="Y56" i="2"/>
  <c r="S56" i="2"/>
  <c r="T56" i="2" s="1"/>
  <c r="L56" i="2"/>
  <c r="K56" i="2"/>
  <c r="J56" i="2"/>
  <c r="D56" i="2"/>
  <c r="X56" i="2" s="1"/>
  <c r="C56" i="2"/>
  <c r="W56" i="2" s="1"/>
  <c r="B56" i="2"/>
  <c r="V56" i="2" s="1"/>
  <c r="A56" i="2"/>
  <c r="Y55" i="2"/>
  <c r="S55" i="2"/>
  <c r="T55" i="2" s="1"/>
  <c r="L55" i="2"/>
  <c r="K55" i="2"/>
  <c r="J55" i="2"/>
  <c r="D55" i="2"/>
  <c r="X55" i="2" s="1"/>
  <c r="C55" i="2"/>
  <c r="W55" i="2" s="1"/>
  <c r="B55" i="2"/>
  <c r="V55" i="2" s="1"/>
  <c r="A55" i="2"/>
  <c r="Y54" i="2"/>
  <c r="S54" i="2"/>
  <c r="T54" i="2" s="1"/>
  <c r="L54" i="2"/>
  <c r="K54" i="2"/>
  <c r="J54" i="2"/>
  <c r="D54" i="2"/>
  <c r="X54" i="2" s="1"/>
  <c r="C54" i="2"/>
  <c r="W54" i="2" s="1"/>
  <c r="B54" i="2"/>
  <c r="V54" i="2" s="1"/>
  <c r="A54" i="2"/>
  <c r="Y53" i="2"/>
  <c r="S53" i="2"/>
  <c r="T53" i="2" s="1"/>
  <c r="L53" i="2"/>
  <c r="K53" i="2"/>
  <c r="J53" i="2"/>
  <c r="D53" i="2"/>
  <c r="X53" i="2" s="1"/>
  <c r="C53" i="2"/>
  <c r="W53" i="2" s="1"/>
  <c r="B53" i="2"/>
  <c r="V53" i="2" s="1"/>
  <c r="A53" i="2"/>
  <c r="Y52" i="2"/>
  <c r="S52" i="2"/>
  <c r="T52" i="2" s="1"/>
  <c r="L52" i="2"/>
  <c r="K52" i="2"/>
  <c r="J52" i="2"/>
  <c r="D52" i="2"/>
  <c r="X52" i="2" s="1"/>
  <c r="C52" i="2"/>
  <c r="W52" i="2" s="1"/>
  <c r="B52" i="2"/>
  <c r="V52" i="2" s="1"/>
  <c r="A52" i="2"/>
  <c r="Y51" i="2"/>
  <c r="S51" i="2"/>
  <c r="T51" i="2" s="1"/>
  <c r="L51" i="2"/>
  <c r="K51" i="2"/>
  <c r="J51" i="2"/>
  <c r="D51" i="2"/>
  <c r="X51" i="2" s="1"/>
  <c r="C51" i="2"/>
  <c r="W51" i="2" s="1"/>
  <c r="B51" i="2"/>
  <c r="V51" i="2" s="1"/>
  <c r="A51" i="2"/>
  <c r="Y50" i="2"/>
  <c r="S50" i="2"/>
  <c r="T50" i="2" s="1"/>
  <c r="L50" i="2"/>
  <c r="K50" i="2"/>
  <c r="J50" i="2"/>
  <c r="D50" i="2"/>
  <c r="X50" i="2" s="1"/>
  <c r="C50" i="2"/>
  <c r="W50" i="2" s="1"/>
  <c r="B50" i="2"/>
  <c r="V50" i="2" s="1"/>
  <c r="A50" i="2"/>
  <c r="Y49" i="2"/>
  <c r="S49" i="2"/>
  <c r="T49" i="2" s="1"/>
  <c r="L49" i="2"/>
  <c r="K49" i="2"/>
  <c r="J49" i="2"/>
  <c r="D49" i="2"/>
  <c r="X49" i="2" s="1"/>
  <c r="C49" i="2"/>
  <c r="W49" i="2" s="1"/>
  <c r="B49" i="2"/>
  <c r="V49" i="2" s="1"/>
  <c r="A49" i="2"/>
  <c r="Y48" i="2"/>
  <c r="S48" i="2"/>
  <c r="T48" i="2" s="1"/>
  <c r="L48" i="2"/>
  <c r="K48" i="2"/>
  <c r="J48" i="2"/>
  <c r="D48" i="2"/>
  <c r="X48" i="2" s="1"/>
  <c r="C48" i="2"/>
  <c r="W48" i="2" s="1"/>
  <c r="B48" i="2"/>
  <c r="V48" i="2" s="1"/>
  <c r="A48" i="2"/>
  <c r="Y47" i="2"/>
  <c r="S47" i="2"/>
  <c r="T47" i="2" s="1"/>
  <c r="L47" i="2"/>
  <c r="K47" i="2"/>
  <c r="J47" i="2"/>
  <c r="D47" i="2"/>
  <c r="X47" i="2" s="1"/>
  <c r="C47" i="2"/>
  <c r="W47" i="2" s="1"/>
  <c r="B47" i="2"/>
  <c r="V47" i="2" s="1"/>
  <c r="A47" i="2"/>
  <c r="Y46" i="2"/>
  <c r="S46" i="2"/>
  <c r="T46" i="2" s="1"/>
  <c r="L46" i="2"/>
  <c r="K46" i="2"/>
  <c r="J46" i="2"/>
  <c r="D46" i="2"/>
  <c r="X46" i="2" s="1"/>
  <c r="C46" i="2"/>
  <c r="W46" i="2" s="1"/>
  <c r="B46" i="2"/>
  <c r="V46" i="2" s="1"/>
  <c r="A46" i="2"/>
  <c r="Y45" i="2"/>
  <c r="S45" i="2"/>
  <c r="T45" i="2" s="1"/>
  <c r="L45" i="2"/>
  <c r="K45" i="2"/>
  <c r="J45" i="2"/>
  <c r="D45" i="2"/>
  <c r="X45" i="2" s="1"/>
  <c r="C45" i="2"/>
  <c r="W45" i="2" s="1"/>
  <c r="B45" i="2"/>
  <c r="V45" i="2" s="1"/>
  <c r="A45" i="2"/>
  <c r="Y44" i="2"/>
  <c r="S44" i="2"/>
  <c r="T44" i="2" s="1"/>
  <c r="L44" i="2"/>
  <c r="K44" i="2"/>
  <c r="J44" i="2"/>
  <c r="D44" i="2"/>
  <c r="X44" i="2" s="1"/>
  <c r="C44" i="2"/>
  <c r="W44" i="2" s="1"/>
  <c r="B44" i="2"/>
  <c r="V44" i="2" s="1"/>
  <c r="A44" i="2"/>
  <c r="Y43" i="2"/>
  <c r="S43" i="2"/>
  <c r="T43" i="2" s="1"/>
  <c r="L43" i="2"/>
  <c r="K43" i="2"/>
  <c r="J43" i="2"/>
  <c r="D43" i="2"/>
  <c r="X43" i="2" s="1"/>
  <c r="C43" i="2"/>
  <c r="W43" i="2" s="1"/>
  <c r="B43" i="2"/>
  <c r="V43" i="2" s="1"/>
  <c r="A43" i="2"/>
  <c r="Y42" i="2"/>
  <c r="S42" i="2"/>
  <c r="T42" i="2" s="1"/>
  <c r="L42" i="2"/>
  <c r="K42" i="2"/>
  <c r="J42" i="2"/>
  <c r="D42" i="2"/>
  <c r="X42" i="2" s="1"/>
  <c r="C42" i="2"/>
  <c r="W42" i="2" s="1"/>
  <c r="B42" i="2"/>
  <c r="V42" i="2" s="1"/>
  <c r="A42" i="2"/>
  <c r="Y41" i="2"/>
  <c r="S41" i="2"/>
  <c r="T41" i="2" s="1"/>
  <c r="L41" i="2"/>
  <c r="K41" i="2"/>
  <c r="J41" i="2"/>
  <c r="D41" i="2"/>
  <c r="X41" i="2" s="1"/>
  <c r="C41" i="2"/>
  <c r="W41" i="2" s="1"/>
  <c r="B41" i="2"/>
  <c r="V41" i="2" s="1"/>
  <c r="A41" i="2"/>
  <c r="Y40" i="2"/>
  <c r="S40" i="2"/>
  <c r="T40" i="2" s="1"/>
  <c r="L40" i="2"/>
  <c r="K40" i="2"/>
  <c r="J40" i="2"/>
  <c r="D40" i="2"/>
  <c r="X40" i="2" s="1"/>
  <c r="C40" i="2"/>
  <c r="W40" i="2" s="1"/>
  <c r="B40" i="2"/>
  <c r="V40" i="2" s="1"/>
  <c r="A40" i="2"/>
  <c r="Y39" i="2"/>
  <c r="S39" i="2"/>
  <c r="T39" i="2" s="1"/>
  <c r="L39" i="2"/>
  <c r="K39" i="2"/>
  <c r="J39" i="2"/>
  <c r="D39" i="2"/>
  <c r="X39" i="2" s="1"/>
  <c r="C39" i="2"/>
  <c r="W39" i="2" s="1"/>
  <c r="B39" i="2"/>
  <c r="V39" i="2" s="1"/>
  <c r="A39" i="2"/>
  <c r="Y38" i="2"/>
  <c r="S38" i="2"/>
  <c r="T38" i="2" s="1"/>
  <c r="L38" i="2"/>
  <c r="K38" i="2"/>
  <c r="J38" i="2"/>
  <c r="D38" i="2"/>
  <c r="X38" i="2" s="1"/>
  <c r="C38" i="2"/>
  <c r="W38" i="2" s="1"/>
  <c r="B38" i="2"/>
  <c r="V38" i="2" s="1"/>
  <c r="A38" i="2"/>
  <c r="Y37" i="2"/>
  <c r="S37" i="2"/>
  <c r="T37" i="2" s="1"/>
  <c r="L37" i="2"/>
  <c r="K37" i="2"/>
  <c r="J37" i="2"/>
  <c r="D37" i="2"/>
  <c r="X37" i="2" s="1"/>
  <c r="C37" i="2"/>
  <c r="W37" i="2" s="1"/>
  <c r="B37" i="2"/>
  <c r="V37" i="2" s="1"/>
  <c r="A37" i="2"/>
  <c r="Y36" i="2"/>
  <c r="S36" i="2"/>
  <c r="T36" i="2" s="1"/>
  <c r="L36" i="2"/>
  <c r="K36" i="2"/>
  <c r="J36" i="2"/>
  <c r="D36" i="2"/>
  <c r="X36" i="2" s="1"/>
  <c r="C36" i="2"/>
  <c r="W36" i="2" s="1"/>
  <c r="B36" i="2"/>
  <c r="V36" i="2" s="1"/>
  <c r="A36" i="2"/>
  <c r="Y35" i="2"/>
  <c r="S35" i="2"/>
  <c r="T35" i="2" s="1"/>
  <c r="L35" i="2"/>
  <c r="K35" i="2"/>
  <c r="J35" i="2"/>
  <c r="D35" i="2"/>
  <c r="X35" i="2" s="1"/>
  <c r="C35" i="2"/>
  <c r="W35" i="2" s="1"/>
  <c r="B35" i="2"/>
  <c r="V35" i="2" s="1"/>
  <c r="A35" i="2"/>
  <c r="Y34" i="2"/>
  <c r="S34" i="2"/>
  <c r="T34" i="2" s="1"/>
  <c r="L34" i="2"/>
  <c r="K34" i="2"/>
  <c r="J34" i="2"/>
  <c r="D34" i="2"/>
  <c r="X34" i="2" s="1"/>
  <c r="C34" i="2"/>
  <c r="W34" i="2" s="1"/>
  <c r="B34" i="2"/>
  <c r="V34" i="2" s="1"/>
  <c r="A34" i="2"/>
  <c r="Y33" i="2"/>
  <c r="S33" i="2"/>
  <c r="T33" i="2" s="1"/>
  <c r="L33" i="2"/>
  <c r="K33" i="2"/>
  <c r="J33" i="2"/>
  <c r="D33" i="2"/>
  <c r="X33" i="2" s="1"/>
  <c r="C33" i="2"/>
  <c r="W33" i="2" s="1"/>
  <c r="B33" i="2"/>
  <c r="V33" i="2" s="1"/>
  <c r="A33" i="2"/>
  <c r="Y32" i="2"/>
  <c r="S32" i="2"/>
  <c r="T32" i="2" s="1"/>
  <c r="L32" i="2"/>
  <c r="K32" i="2"/>
  <c r="J32" i="2"/>
  <c r="D32" i="2"/>
  <c r="X32" i="2" s="1"/>
  <c r="C32" i="2"/>
  <c r="W32" i="2" s="1"/>
  <c r="B32" i="2"/>
  <c r="V32" i="2" s="1"/>
  <c r="A32" i="2"/>
  <c r="Y31" i="2"/>
  <c r="S31" i="2"/>
  <c r="T31" i="2" s="1"/>
  <c r="L31" i="2"/>
  <c r="K31" i="2"/>
  <c r="J31" i="2"/>
  <c r="D31" i="2"/>
  <c r="X31" i="2" s="1"/>
  <c r="C31" i="2"/>
  <c r="W31" i="2" s="1"/>
  <c r="B31" i="2"/>
  <c r="V31" i="2" s="1"/>
  <c r="A31" i="2"/>
  <c r="Y30" i="2"/>
  <c r="S30" i="2"/>
  <c r="T30" i="2" s="1"/>
  <c r="L30" i="2"/>
  <c r="K30" i="2"/>
  <c r="J30" i="2"/>
  <c r="D30" i="2"/>
  <c r="X30" i="2" s="1"/>
  <c r="C30" i="2"/>
  <c r="W30" i="2" s="1"/>
  <c r="B30" i="2"/>
  <c r="V30" i="2" s="1"/>
  <c r="A30" i="2"/>
  <c r="Y29" i="2"/>
  <c r="S29" i="2"/>
  <c r="T29" i="2" s="1"/>
  <c r="L29" i="2"/>
  <c r="K29" i="2"/>
  <c r="J29" i="2"/>
  <c r="D29" i="2"/>
  <c r="X29" i="2" s="1"/>
  <c r="C29" i="2"/>
  <c r="W29" i="2" s="1"/>
  <c r="B29" i="2"/>
  <c r="V29" i="2" s="1"/>
  <c r="A29" i="2"/>
  <c r="Y28" i="2"/>
  <c r="S28" i="2"/>
  <c r="T28" i="2" s="1"/>
  <c r="L28" i="2"/>
  <c r="K28" i="2"/>
  <c r="J28" i="2"/>
  <c r="D28" i="2"/>
  <c r="X28" i="2" s="1"/>
  <c r="C28" i="2"/>
  <c r="W28" i="2" s="1"/>
  <c r="B28" i="2"/>
  <c r="V28" i="2" s="1"/>
  <c r="A28" i="2"/>
  <c r="Y27" i="2"/>
  <c r="S27" i="2"/>
  <c r="T27" i="2" s="1"/>
  <c r="L27" i="2"/>
  <c r="K27" i="2"/>
  <c r="J27" i="2"/>
  <c r="D27" i="2"/>
  <c r="X27" i="2" s="1"/>
  <c r="C27" i="2"/>
  <c r="W27" i="2" s="1"/>
  <c r="B27" i="2"/>
  <c r="V27" i="2" s="1"/>
  <c r="A27" i="2"/>
  <c r="Y26" i="2"/>
  <c r="S26" i="2"/>
  <c r="T26" i="2" s="1"/>
  <c r="L26" i="2"/>
  <c r="K26" i="2"/>
  <c r="J26" i="2"/>
  <c r="D26" i="2"/>
  <c r="X26" i="2" s="1"/>
  <c r="C26" i="2"/>
  <c r="W26" i="2" s="1"/>
  <c r="B26" i="2"/>
  <c r="V26" i="2" s="1"/>
  <c r="A26" i="2"/>
  <c r="Y25" i="2"/>
  <c r="S25" i="2"/>
  <c r="T25" i="2" s="1"/>
  <c r="L25" i="2"/>
  <c r="K25" i="2"/>
  <c r="J25" i="2"/>
  <c r="D25" i="2"/>
  <c r="X25" i="2" s="1"/>
  <c r="C25" i="2"/>
  <c r="W25" i="2" s="1"/>
  <c r="B25" i="2"/>
  <c r="V25" i="2" s="1"/>
  <c r="A25" i="2"/>
  <c r="Y24" i="2"/>
  <c r="S24" i="2"/>
  <c r="T24" i="2" s="1"/>
  <c r="L24" i="2"/>
  <c r="K24" i="2"/>
  <c r="J24" i="2"/>
  <c r="D24" i="2"/>
  <c r="X24" i="2" s="1"/>
  <c r="C24" i="2"/>
  <c r="W24" i="2" s="1"/>
  <c r="B24" i="2"/>
  <c r="V24" i="2" s="1"/>
  <c r="A24" i="2"/>
  <c r="Y23" i="2"/>
  <c r="S23" i="2"/>
  <c r="T23" i="2" s="1"/>
  <c r="L23" i="2"/>
  <c r="K23" i="2"/>
  <c r="J23" i="2"/>
  <c r="D23" i="2"/>
  <c r="X23" i="2" s="1"/>
  <c r="C23" i="2"/>
  <c r="W23" i="2" s="1"/>
  <c r="B23" i="2"/>
  <c r="V23" i="2" s="1"/>
  <c r="A23" i="2"/>
  <c r="Y22" i="2"/>
  <c r="S22" i="2"/>
  <c r="T22" i="2" s="1"/>
  <c r="L22" i="2"/>
  <c r="K22" i="2"/>
  <c r="J22" i="2"/>
  <c r="D22" i="2"/>
  <c r="X22" i="2" s="1"/>
  <c r="C22" i="2"/>
  <c r="W22" i="2" s="1"/>
  <c r="B22" i="2"/>
  <c r="V22" i="2" s="1"/>
  <c r="A22" i="2"/>
  <c r="Y21" i="2"/>
  <c r="S21" i="2"/>
  <c r="T21" i="2" s="1"/>
  <c r="L21" i="2"/>
  <c r="K21" i="2"/>
  <c r="J21" i="2"/>
  <c r="D21" i="2"/>
  <c r="X21" i="2" s="1"/>
  <c r="C21" i="2"/>
  <c r="W21" i="2" s="1"/>
  <c r="B21" i="2"/>
  <c r="V21" i="2" s="1"/>
  <c r="A21" i="2"/>
  <c r="Y20" i="2"/>
  <c r="S20" i="2"/>
  <c r="T20" i="2" s="1"/>
  <c r="L20" i="2"/>
  <c r="K20" i="2"/>
  <c r="J20" i="2"/>
  <c r="D20" i="2"/>
  <c r="X20" i="2" s="1"/>
  <c r="C20" i="2"/>
  <c r="W20" i="2" s="1"/>
  <c r="B20" i="2"/>
  <c r="V20" i="2" s="1"/>
  <c r="A20" i="2"/>
  <c r="Y19" i="2"/>
  <c r="S19" i="2"/>
  <c r="T19" i="2" s="1"/>
  <c r="L19" i="2"/>
  <c r="K19" i="2"/>
  <c r="J19" i="2"/>
  <c r="D19" i="2"/>
  <c r="X19" i="2" s="1"/>
  <c r="C19" i="2"/>
  <c r="W19" i="2" s="1"/>
  <c r="B19" i="2"/>
  <c r="V19" i="2" s="1"/>
  <c r="A19" i="2"/>
  <c r="Y18" i="2"/>
  <c r="S18" i="2"/>
  <c r="T18" i="2" s="1"/>
  <c r="L18" i="2"/>
  <c r="K18" i="2"/>
  <c r="J18" i="2"/>
  <c r="D18" i="2"/>
  <c r="X18" i="2" s="1"/>
  <c r="C18" i="2"/>
  <c r="W18" i="2" s="1"/>
  <c r="B18" i="2"/>
  <c r="V18" i="2" s="1"/>
  <c r="A18" i="2"/>
  <c r="Y17" i="2"/>
  <c r="S17" i="2"/>
  <c r="T17" i="2" s="1"/>
  <c r="L17" i="2"/>
  <c r="K17" i="2"/>
  <c r="J17" i="2"/>
  <c r="D17" i="2"/>
  <c r="X17" i="2" s="1"/>
  <c r="C17" i="2"/>
  <c r="W17" i="2" s="1"/>
  <c r="B17" i="2"/>
  <c r="V17" i="2" s="1"/>
  <c r="A17" i="2"/>
  <c r="Y16" i="2"/>
  <c r="S16" i="2"/>
  <c r="T16" i="2" s="1"/>
  <c r="L16" i="2"/>
  <c r="K16" i="2"/>
  <c r="J16" i="2"/>
  <c r="D16" i="2"/>
  <c r="X16" i="2" s="1"/>
  <c r="C16" i="2"/>
  <c r="W16" i="2" s="1"/>
  <c r="B16" i="2"/>
  <c r="V16" i="2" s="1"/>
  <c r="A16" i="2"/>
  <c r="Y15" i="2"/>
  <c r="S15" i="2"/>
  <c r="T15" i="2" s="1"/>
  <c r="L15" i="2"/>
  <c r="K15" i="2"/>
  <c r="J15" i="2"/>
  <c r="D15" i="2"/>
  <c r="X15" i="2" s="1"/>
  <c r="C15" i="2"/>
  <c r="W15" i="2" s="1"/>
  <c r="B15" i="2"/>
  <c r="V15" i="2" s="1"/>
  <c r="A15" i="2"/>
  <c r="Y14" i="2"/>
  <c r="S14" i="2"/>
  <c r="T14" i="2" s="1"/>
  <c r="L14" i="2"/>
  <c r="K14" i="2"/>
  <c r="J14" i="2"/>
  <c r="D14" i="2"/>
  <c r="X14" i="2" s="1"/>
  <c r="C14" i="2"/>
  <c r="W14" i="2" s="1"/>
  <c r="B14" i="2"/>
  <c r="V14" i="2" s="1"/>
  <c r="A14" i="2"/>
  <c r="Y13" i="2"/>
  <c r="S13" i="2"/>
  <c r="T13" i="2" s="1"/>
  <c r="L13" i="2"/>
  <c r="K13" i="2"/>
  <c r="J13" i="2"/>
  <c r="D13" i="2"/>
  <c r="X13" i="2" s="1"/>
  <c r="C13" i="2"/>
  <c r="W13" i="2" s="1"/>
  <c r="B13" i="2"/>
  <c r="V13" i="2" s="1"/>
  <c r="A13" i="2"/>
  <c r="Y12" i="2"/>
  <c r="S12" i="2"/>
  <c r="T12" i="2" s="1"/>
  <c r="L12" i="2"/>
  <c r="K12" i="2"/>
  <c r="J12" i="2"/>
  <c r="D12" i="2"/>
  <c r="X12" i="2" s="1"/>
  <c r="C12" i="2"/>
  <c r="W12" i="2" s="1"/>
  <c r="B12" i="2"/>
  <c r="V12" i="2" s="1"/>
  <c r="A12" i="2"/>
  <c r="Y11" i="2"/>
  <c r="S11" i="2"/>
  <c r="T11" i="2" s="1"/>
  <c r="L11" i="2"/>
  <c r="K11" i="2"/>
  <c r="J11" i="2"/>
  <c r="D11" i="2"/>
  <c r="X11" i="2" s="1"/>
  <c r="C11" i="2"/>
  <c r="W11" i="2" s="1"/>
  <c r="B11" i="2"/>
  <c r="V11" i="2" s="1"/>
  <c r="A11" i="2"/>
  <c r="Y10" i="2"/>
  <c r="S10" i="2"/>
  <c r="T10" i="2" s="1"/>
  <c r="L10" i="2"/>
  <c r="K10" i="2"/>
  <c r="J10" i="2"/>
  <c r="D10" i="2"/>
  <c r="X10" i="2" s="1"/>
  <c r="C10" i="2"/>
  <c r="W10" i="2" s="1"/>
  <c r="B10" i="2"/>
  <c r="V10" i="2" s="1"/>
  <c r="A10" i="2"/>
  <c r="Y9" i="2"/>
  <c r="S9" i="2"/>
  <c r="T9" i="2" s="1"/>
  <c r="L9" i="2"/>
  <c r="K9" i="2"/>
  <c r="J9" i="2"/>
  <c r="D9" i="2"/>
  <c r="X9" i="2" s="1"/>
  <c r="C9" i="2"/>
  <c r="W9" i="2" s="1"/>
  <c r="B9" i="2"/>
  <c r="V9" i="2" s="1"/>
  <c r="A9" i="2"/>
  <c r="Y8" i="2"/>
  <c r="S8" i="2"/>
  <c r="T8" i="2" s="1"/>
  <c r="L8" i="2"/>
  <c r="K8" i="2"/>
  <c r="J8" i="2"/>
  <c r="D8" i="2"/>
  <c r="X8" i="2" s="1"/>
  <c r="C8" i="2"/>
  <c r="W8" i="2" s="1"/>
  <c r="B8" i="2"/>
  <c r="V8" i="2" s="1"/>
  <c r="A8" i="2"/>
  <c r="Y7" i="2"/>
  <c r="S7" i="2"/>
  <c r="T7" i="2" s="1"/>
  <c r="L7" i="2"/>
  <c r="K7" i="2"/>
  <c r="J7" i="2"/>
  <c r="D7" i="2"/>
  <c r="X7" i="2" s="1"/>
  <c r="C7" i="2"/>
  <c r="W7" i="2" s="1"/>
  <c r="B7" i="2"/>
  <c r="V7" i="2" s="1"/>
  <c r="A7" i="2"/>
  <c r="Y6" i="2"/>
  <c r="S6" i="2"/>
  <c r="T6" i="2" s="1"/>
  <c r="L6" i="2"/>
  <c r="K6" i="2"/>
  <c r="J6" i="2"/>
  <c r="D6" i="2"/>
  <c r="X6" i="2" s="1"/>
  <c r="C6" i="2"/>
  <c r="W6" i="2" s="1"/>
  <c r="B6" i="2"/>
  <c r="V6" i="2" s="1"/>
  <c r="A6" i="2"/>
  <c r="Y5" i="2"/>
  <c r="S5" i="2"/>
  <c r="T5" i="2" s="1"/>
  <c r="L5" i="2"/>
  <c r="K5" i="2"/>
  <c r="J5" i="2"/>
  <c r="D5" i="2"/>
  <c r="X5" i="2" s="1"/>
  <c r="C5" i="2"/>
  <c r="W5" i="2" s="1"/>
  <c r="B5" i="2"/>
  <c r="V5" i="2" s="1"/>
  <c r="A5" i="2"/>
  <c r="L178" i="3" l="1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4" i="3"/>
  <c r="L153" i="3"/>
  <c r="L149" i="3"/>
</calcChain>
</file>

<file path=xl/sharedStrings.xml><?xml version="1.0" encoding="utf-8"?>
<sst xmlns="http://schemas.openxmlformats.org/spreadsheetml/2006/main" count="7287" uniqueCount="94">
  <si>
    <t>Detailed Model Results</t>
  </si>
  <si>
    <t>Model Group</t>
  </si>
  <si>
    <t>Model Name</t>
  </si>
  <si>
    <t>Mortality Model</t>
  </si>
  <si>
    <t>ERR</t>
  </si>
  <si>
    <t>ERR Variability</t>
  </si>
  <si>
    <t>TP Variability</t>
  </si>
  <si>
    <t>Age Range</t>
  </si>
  <si>
    <t>Node</t>
  </si>
  <si>
    <t>Mean</t>
  </si>
  <si>
    <t>Trans. Prob Stand. Dev.</t>
  </si>
  <si>
    <t>ERR Standard Deviation</t>
  </si>
  <si>
    <t>QALE Mean</t>
  </si>
  <si>
    <t>QALE 2.5%</t>
  </si>
  <si>
    <t>QALE 97.5%</t>
  </si>
  <si>
    <t>LE Mean</t>
  </si>
  <si>
    <t>LE 2.5%</t>
  </si>
  <si>
    <t>LE 97.5%</t>
  </si>
  <si>
    <t>Creation Date</t>
  </si>
  <si>
    <t>Web Version</t>
  </si>
  <si>
    <t>R Version</t>
  </si>
  <si>
    <t>Grizzly XL YO</t>
  </si>
  <si>
    <t>Master Model G10 Grizzly XL_TwoAge_5a_6a_14b_15a_B01</t>
  </si>
  <si>
    <t>JAGS_Male_2000</t>
  </si>
  <si>
    <t>Variable</t>
  </si>
  <si>
    <t>Smoking initiation and cessation variable</t>
  </si>
  <si>
    <t>68 - 72</t>
  </si>
  <si>
    <t>DIFF_ALL</t>
  </si>
  <si>
    <t>N/A</t>
  </si>
  <si>
    <t>3.0.0</t>
  </si>
  <si>
    <t>1.8</t>
  </si>
  <si>
    <t>ALL.T</t>
  </si>
  <si>
    <t>JAGS_Female_2000</t>
  </si>
  <si>
    <t>Master Model G10 Grizzly XL_TwoAge_5a_6a_14b_15a_B02</t>
  </si>
  <si>
    <t>Master Model G10 Grizzly XL_TwoAge_5a_6a_14b_15a_B03</t>
  </si>
  <si>
    <t>Master Model G10 Grizzly XL_TwoAge_5a_6a_14b_15a_B04</t>
  </si>
  <si>
    <t>Master Model G10 Grizzly XL_TwoAge_5a_6a_14b_15a_B05</t>
  </si>
  <si>
    <t>Master Model G10 Grizzly XL_TwoAge_5a_6a_14b_15a_B06</t>
  </si>
  <si>
    <t>Master Model G10 Grizzly XL_TwoAge_5a_6a_14b_15a_B07</t>
  </si>
  <si>
    <t>Master Model G10 Grizzly XL_TwoAge_5a_6a_14b_15a_B08</t>
  </si>
  <si>
    <t>Master Model G10 Grizzly XL_TwoAge_5a_6a_14b_15a_B09</t>
  </si>
  <si>
    <t>Master Model G10 Grizzly XL_TwoAge_5a_6a_14b_15a_B10</t>
  </si>
  <si>
    <t>Master Model G10 Grizzly XL_TwoAge_5a_6a_14b_15a_B11</t>
  </si>
  <si>
    <t>Master Model G25 Grizzly XL_TwoAge_5a_6a_14b_15a_B01</t>
  </si>
  <si>
    <t>Master Model G25 Grizzly XL_TwoAge_5a_6a_14b_15a_B02</t>
  </si>
  <si>
    <t>Master Model G25 Grizzly XL_TwoAge_5a_6a_14b_15a_B03</t>
  </si>
  <si>
    <t>Master Model G25 Grizzly XL_TwoAge_5a_6a_14b_15a_B04</t>
  </si>
  <si>
    <t>Master Model G25 Grizzly XL_TwoAge_5a_6a_14b_15a_B05</t>
  </si>
  <si>
    <t>Master Model G25 Grizzly XL_TwoAge_5a_6a_14b_15a_B06</t>
  </si>
  <si>
    <t>Master Model G25 Grizzly XL_TwoAge_5a_6a_14b_15a_B07</t>
  </si>
  <si>
    <t>Master Model G25 Grizzly XL_TwoAge_5a_6a_14b_15a_B08</t>
  </si>
  <si>
    <t>Master Model G25 Grizzly XL_TwoAge_5a_6a_14b_15a_B09</t>
  </si>
  <si>
    <t>Master Model G25 Grizzly XL_TwoAge_5a_6a_14b_15a_B10</t>
  </si>
  <si>
    <t>Master Model G25 Grizzly XL_TwoAge_5a_6a_14b_15a_B11</t>
  </si>
  <si>
    <t>Master Model G10 Grizzly XL Relapse_TwoAge_B01</t>
  </si>
  <si>
    <t>Master Model G10 Grizzly XL Relapse_TwoAge_B02</t>
  </si>
  <si>
    <t>Master Model G10 Grizzly XL Relapse_TwoAge_B03</t>
  </si>
  <si>
    <t>Master Model G10 Grizzly XL Relapse_TwoAge_B04</t>
  </si>
  <si>
    <t>Master Model G10 Grizzly XL Relapse_TwoAge_B05</t>
  </si>
  <si>
    <t>Master Model G10 Grizzly XL Relapse_TwoAge_B06</t>
  </si>
  <si>
    <t>Master Model G10 Grizzly XL Relapse_TwoAge_B07</t>
  </si>
  <si>
    <t>Master Model G10 Grizzly XL Relapse_TwoAge_B08</t>
  </si>
  <si>
    <t>Master Model G10 Grizzly XL Relapse_TwoAge_B09</t>
  </si>
  <si>
    <t>Master Model G10 Grizzly XL Relapse_TwoAge_B10</t>
  </si>
  <si>
    <t>Master Model G10 Grizzly XL Relapse_TwoAge_B11</t>
  </si>
  <si>
    <t>Master Model G25 Grizzly XL Relapse_TwoAge_B01</t>
  </si>
  <si>
    <t>Master Model G25 Grizzly XL Relapse_TwoAge_B02</t>
  </si>
  <si>
    <t>Master Model G25 Grizzly XL Relapse_TwoAge_B03</t>
  </si>
  <si>
    <t>Master Model G25 Grizzly XL Relapse_TwoAge_B04</t>
  </si>
  <si>
    <t>Master Model G25 Grizzly XL Relapse_TwoAge_B05</t>
  </si>
  <si>
    <t>Master Model G25 Grizzly XL Relapse_TwoAge_B06</t>
  </si>
  <si>
    <t>Master Model G25 Grizzly XL Relapse_TwoAge_B07</t>
  </si>
  <si>
    <t>Master Model G25 Grizzly XL Relapse_TwoAge_B08</t>
  </si>
  <si>
    <t>Master Model G25 Grizzly XL Relapse_TwoAge_B09</t>
  </si>
  <si>
    <t>Master Model G25 Grizzly XL Relapse_TwoAge_B10</t>
  </si>
  <si>
    <t>Master Model G25 Grizzly XL Relapse_TwoAge_B11</t>
  </si>
  <si>
    <t>Relapse ALL.T</t>
  </si>
  <si>
    <t>Master Model ALL.T and DIFF_ALL</t>
  </si>
  <si>
    <t>CF1</t>
  </si>
  <si>
    <t>CF1-BC1</t>
  </si>
  <si>
    <t>Check if rows match between Relapse and Master Pivot Tables</t>
  </si>
  <si>
    <t>Max of Mean</t>
  </si>
  <si>
    <t>(CF1-CF2)</t>
  </si>
  <si>
    <t>CF1-BC1-CF1+CF2</t>
  </si>
  <si>
    <t>Relapse Key</t>
  </si>
  <si>
    <t>Gateway</t>
  </si>
  <si>
    <t>Stacked Type</t>
  </si>
  <si>
    <t>Birth Cohort</t>
  </si>
  <si>
    <t>Difference, survivors no relapse vs. survivors 50% relapse</t>
  </si>
  <si>
    <t>Adjusted results, DIFF_ALL</t>
  </si>
  <si>
    <t>StackedType</t>
  </si>
  <si>
    <t>Mean_Webtool</t>
  </si>
  <si>
    <t>Key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</si>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</sst>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\ AM/PM"/>
    <numFmt numFmtId="167" formatCode="yyyy\-mm\-dd\ hh:mm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>
      <alignment horizontal="right"/>
    </xf>
    <xf numFmtId="0" fontId="2" fillId="0" borderId="0">
      <alignment horizontal="left"/>
    </xf>
    <xf numFmtId="0" fontId="1" fillId="0" borderId="0">
      <alignment horizontal="center"/>
    </xf>
    <xf numFmtId="0" fontId="1" fillId="0" borderId="0">
      <alignment horizontal="left"/>
    </xf>
  </cellStyleXfs>
  <cellXfs count="23">
    <xf numFmtId="0" fontId="0" fillId="0" borderId="0" xfId="0"/>
    <xf numFmtId="0" fontId="1" fillId="0" borderId="0" xfId="1"/>
    <xf numFmtId="0" fontId="1" fillId="0" borderId="1" xfId="5" applyBorder="1">
      <alignment horizontal="left"/>
    </xf>
    <xf numFmtId="0" fontId="1" fillId="0" borderId="1" xfId="4" applyBorder="1">
      <alignment horizontal="center"/>
    </xf>
    <xf numFmtId="0" fontId="2" fillId="0" borderId="1" xfId="3" applyBorder="1">
      <alignment horizontal="left"/>
    </xf>
    <xf numFmtId="2" fontId="2" fillId="0" borderId="1" xfId="3" applyNumberFormat="1" applyBorder="1">
      <alignment horizontal="left"/>
    </xf>
    <xf numFmtId="3" fontId="2" fillId="0" borderId="1" xfId="2" applyNumberFormat="1" applyBorder="1">
      <alignment horizontal="right"/>
    </xf>
    <xf numFmtId="2" fontId="2" fillId="0" borderId="1" xfId="2" applyNumberFormat="1" applyBorder="1">
      <alignment horizontal="right"/>
    </xf>
    <xf numFmtId="164" fontId="2" fillId="0" borderId="1" xfId="3" applyNumberFormat="1" applyBorder="1">
      <alignment horizontal="left"/>
    </xf>
    <xf numFmtId="3" fontId="0" fillId="0" borderId="0" xfId="0" applyNumberFormat="1"/>
    <xf numFmtId="0" fontId="2" fillId="2" borderId="1" xfId="3" applyFill="1" applyBorder="1">
      <alignment horizontal="left"/>
    </xf>
    <xf numFmtId="2" fontId="2" fillId="2" borderId="1" xfId="3" applyNumberFormat="1" applyFill="1" applyBorder="1">
      <alignment horizontal="left"/>
    </xf>
    <xf numFmtId="3" fontId="2" fillId="2" borderId="1" xfId="2" applyNumberFormat="1" applyFill="1" applyBorder="1">
      <alignment horizontal="right"/>
    </xf>
    <xf numFmtId="2" fontId="2" fillId="2" borderId="1" xfId="2" applyNumberFormat="1" applyFill="1" applyBorder="1">
      <alignment horizontal="right"/>
    </xf>
    <xf numFmtId="164" fontId="2" fillId="2" borderId="1" xfId="3" applyNumberFormat="1" applyFill="1" applyBorder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3" fillId="5" borderId="0" xfId="0" applyFont="1" applyFill="1"/>
    <xf numFmtId="0" fontId="3" fillId="0" borderId="0" xfId="0" applyFont="1"/>
    <xf numFmtId="0" fontId="3" fillId="6" borderId="0" xfId="0" applyFont="1" applyFill="1"/>
    <xf numFmtId="167" fontId="0" fillId="0" borderId="0" xfId="0" applyNumberFormat="1"/>
  </cellXfs>
  <cellStyles count="6">
    <cellStyle name="dataHeaderLeftStyle" xfId="5" xr:uid="{00000000-0005-0000-0000-000005000000}"/>
    <cellStyle name="dataHeaderStyle" xfId="4" xr:uid="{00000000-0005-0000-0000-000004000000}"/>
    <cellStyle name="dataLeftStyle" xfId="3" xr:uid="{00000000-0005-0000-0000-000003000000}"/>
    <cellStyle name="dataRightStyle" xfId="2" xr:uid="{00000000-0005-0000-0000-000002000000}"/>
    <cellStyle name="headerStyle" xfId="1" xr:uid="{00000000-0005-0000-0000-000001000000}"/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4"/>
  <sheetViews>
    <sheetView tabSelected="1" topLeftCell="L334" workbookViewId="0">
      <selection activeCell="J213" sqref="J213"/>
    </sheetView>
  </sheetViews>
  <sheetFormatPr defaultColWidth="16.88671875" defaultRowHeight="14.4" x14ac:dyDescent="0.3"/>
  <cols>
    <col min="1" max="1" width="31.5546875" customWidth="1"/>
    <col min="2" max="2" width="52.88671875" customWidth="1"/>
    <col min="3" max="3" width="32" customWidth="1"/>
    <col min="4" max="4" width="26.109375" customWidth="1"/>
    <col min="5" max="7" width="0" hidden="1"/>
    <col min="18" max="18" width="19.6640625" customWidth="1"/>
  </cols>
  <sheetData>
    <row r="1" spans="1:20" x14ac:dyDescent="0.3">
      <c r="A1" s="1" t="s">
        <v>0</v>
      </c>
    </row>
    <row r="2" spans="1:20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3">
      <c r="A3" s="4" t="s">
        <v>21</v>
      </c>
      <c r="B3" s="4" t="s">
        <v>22</v>
      </c>
      <c r="C3" s="4" t="s">
        <v>23</v>
      </c>
      <c r="D3" s="5">
        <v>0.05</v>
      </c>
      <c r="E3" s="4" t="s">
        <v>24</v>
      </c>
      <c r="F3" s="4" t="s">
        <v>25</v>
      </c>
      <c r="G3" s="4" t="s">
        <v>26</v>
      </c>
      <c r="H3" s="4" t="s">
        <v>27</v>
      </c>
      <c r="I3" s="6">
        <v>2678.813451</v>
      </c>
      <c r="J3" s="7">
        <v>0.01</v>
      </c>
      <c r="K3" s="7">
        <v>9.9999997764825821E-3</v>
      </c>
      <c r="L3" s="4" t="s">
        <v>28</v>
      </c>
      <c r="M3" s="4" t="s">
        <v>28</v>
      </c>
      <c r="N3" s="4" t="s">
        <v>28</v>
      </c>
      <c r="O3" s="4" t="s">
        <v>28</v>
      </c>
      <c r="P3" s="4" t="s">
        <v>28</v>
      </c>
      <c r="Q3" s="4" t="s">
        <v>28</v>
      </c>
      <c r="R3" s="8">
        <v>46254.035705300928</v>
      </c>
      <c r="S3" s="4" t="s">
        <v>29</v>
      </c>
      <c r="T3" s="4" t="s">
        <v>30</v>
      </c>
    </row>
    <row r="4" spans="1:20" x14ac:dyDescent="0.3">
      <c r="A4" s="4" t="s">
        <v>21</v>
      </c>
      <c r="B4" s="4" t="s">
        <v>22</v>
      </c>
      <c r="C4" s="4" t="s">
        <v>23</v>
      </c>
      <c r="D4" s="5">
        <v>0.05</v>
      </c>
      <c r="E4" s="4" t="s">
        <v>24</v>
      </c>
      <c r="F4" s="4" t="s">
        <v>25</v>
      </c>
      <c r="G4" s="4" t="s">
        <v>26</v>
      </c>
      <c r="H4" s="4" t="s">
        <v>31</v>
      </c>
      <c r="I4" s="6">
        <v>681444.34209699999</v>
      </c>
      <c r="J4" s="7">
        <v>0.01</v>
      </c>
      <c r="K4" s="7">
        <v>9.9999997764825821E-3</v>
      </c>
      <c r="L4" s="4" t="s">
        <v>28</v>
      </c>
      <c r="M4" s="4" t="s">
        <v>28</v>
      </c>
      <c r="N4" s="4" t="s">
        <v>28</v>
      </c>
      <c r="O4" s="4" t="s">
        <v>28</v>
      </c>
      <c r="P4" s="4" t="s">
        <v>28</v>
      </c>
      <c r="Q4" s="4" t="s">
        <v>28</v>
      </c>
      <c r="R4" s="8">
        <v>46254.035705300928</v>
      </c>
      <c r="S4" s="4" t="s">
        <v>29</v>
      </c>
      <c r="T4" s="4" t="s">
        <v>30</v>
      </c>
    </row>
    <row r="5" spans="1:20" x14ac:dyDescent="0.3">
      <c r="A5" s="4" t="s">
        <v>21</v>
      </c>
      <c r="B5" s="4" t="s">
        <v>22</v>
      </c>
      <c r="C5" s="4" t="s">
        <v>23</v>
      </c>
      <c r="D5" s="5">
        <v>0.1</v>
      </c>
      <c r="E5" s="4" t="s">
        <v>24</v>
      </c>
      <c r="F5" s="4" t="s">
        <v>25</v>
      </c>
      <c r="G5" s="4" t="s">
        <v>26</v>
      </c>
      <c r="H5" s="4" t="s">
        <v>27</v>
      </c>
      <c r="I5" s="6">
        <v>2047.4314220000001</v>
      </c>
      <c r="J5" s="7">
        <v>0.01</v>
      </c>
      <c r="K5" s="7">
        <v>9.9999997764825821E-3</v>
      </c>
      <c r="L5" s="4" t="s">
        <v>28</v>
      </c>
      <c r="M5" s="4" t="s">
        <v>28</v>
      </c>
      <c r="N5" s="4" t="s">
        <v>28</v>
      </c>
      <c r="O5" s="4" t="s">
        <v>28</v>
      </c>
      <c r="P5" s="4" t="s">
        <v>28</v>
      </c>
      <c r="Q5" s="4" t="s">
        <v>28</v>
      </c>
      <c r="R5" s="8">
        <v>46254.035705300928</v>
      </c>
      <c r="S5" s="4" t="s">
        <v>29</v>
      </c>
      <c r="T5" s="4" t="s">
        <v>30</v>
      </c>
    </row>
    <row r="6" spans="1:20" x14ac:dyDescent="0.3">
      <c r="A6" s="4" t="s">
        <v>21</v>
      </c>
      <c r="B6" s="4" t="s">
        <v>22</v>
      </c>
      <c r="C6" s="4" t="s">
        <v>23</v>
      </c>
      <c r="D6" s="5">
        <v>0.1</v>
      </c>
      <c r="E6" s="4" t="s">
        <v>24</v>
      </c>
      <c r="F6" s="4" t="s">
        <v>25</v>
      </c>
      <c r="G6" s="4" t="s">
        <v>26</v>
      </c>
      <c r="H6" s="4" t="s">
        <v>31</v>
      </c>
      <c r="I6" s="6">
        <v>680812.96006800001</v>
      </c>
      <c r="J6" s="7">
        <v>0.01</v>
      </c>
      <c r="K6" s="7">
        <v>9.9999997764825821E-3</v>
      </c>
      <c r="L6" s="4" t="s">
        <v>28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8">
        <v>46254.035705300928</v>
      </c>
      <c r="S6" s="4" t="s">
        <v>29</v>
      </c>
      <c r="T6" s="4" t="s">
        <v>30</v>
      </c>
    </row>
    <row r="7" spans="1:20" x14ac:dyDescent="0.3">
      <c r="A7" s="4" t="s">
        <v>21</v>
      </c>
      <c r="B7" s="4" t="s">
        <v>22</v>
      </c>
      <c r="C7" s="4" t="s">
        <v>32</v>
      </c>
      <c r="D7" s="5">
        <v>0.05</v>
      </c>
      <c r="E7" s="4" t="s">
        <v>24</v>
      </c>
      <c r="F7" s="4" t="s">
        <v>25</v>
      </c>
      <c r="G7" s="4" t="s">
        <v>26</v>
      </c>
      <c r="H7" s="4" t="s">
        <v>27</v>
      </c>
      <c r="I7" s="6">
        <v>2294.0699279999999</v>
      </c>
      <c r="J7" s="7">
        <v>0.01</v>
      </c>
      <c r="K7" s="7">
        <v>9.9999997764825821E-3</v>
      </c>
      <c r="L7" s="4" t="s">
        <v>28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  <c r="R7" s="8">
        <v>46254.035705300928</v>
      </c>
      <c r="S7" s="4" t="s">
        <v>29</v>
      </c>
      <c r="T7" s="4" t="s">
        <v>30</v>
      </c>
    </row>
    <row r="8" spans="1:20" x14ac:dyDescent="0.3">
      <c r="A8" s="4" t="s">
        <v>21</v>
      </c>
      <c r="B8" s="4" t="s">
        <v>22</v>
      </c>
      <c r="C8" s="4" t="s">
        <v>32</v>
      </c>
      <c r="D8" s="5">
        <v>0.05</v>
      </c>
      <c r="E8" s="4" t="s">
        <v>24</v>
      </c>
      <c r="F8" s="4" t="s">
        <v>25</v>
      </c>
      <c r="G8" s="4" t="s">
        <v>26</v>
      </c>
      <c r="H8" s="4" t="s">
        <v>31</v>
      </c>
      <c r="I8" s="6">
        <v>787255.37935199996</v>
      </c>
      <c r="J8" s="7">
        <v>0.01</v>
      </c>
      <c r="K8" s="7">
        <v>9.9999997764825821E-3</v>
      </c>
      <c r="L8" s="4" t="s">
        <v>28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  <c r="R8" s="8">
        <v>46254.035705300928</v>
      </c>
      <c r="S8" s="4" t="s">
        <v>29</v>
      </c>
      <c r="T8" s="4" t="s">
        <v>30</v>
      </c>
    </row>
    <row r="9" spans="1:20" x14ac:dyDescent="0.3">
      <c r="A9" s="4" t="s">
        <v>21</v>
      </c>
      <c r="B9" s="4" t="s">
        <v>22</v>
      </c>
      <c r="C9" s="4" t="s">
        <v>32</v>
      </c>
      <c r="D9" s="5">
        <v>0.1</v>
      </c>
      <c r="E9" s="4" t="s">
        <v>24</v>
      </c>
      <c r="F9" s="4" t="s">
        <v>25</v>
      </c>
      <c r="G9" s="4" t="s">
        <v>26</v>
      </c>
      <c r="H9" s="4" t="s">
        <v>27</v>
      </c>
      <c r="I9" s="6">
        <v>1782.9391459999999</v>
      </c>
      <c r="J9" s="7">
        <v>0.01</v>
      </c>
      <c r="K9" s="7">
        <v>9.9999997764825821E-3</v>
      </c>
      <c r="L9" s="4" t="s">
        <v>28</v>
      </c>
      <c r="M9" s="4" t="s">
        <v>28</v>
      </c>
      <c r="N9" s="4" t="s">
        <v>28</v>
      </c>
      <c r="O9" s="4" t="s">
        <v>28</v>
      </c>
      <c r="P9" s="4" t="s">
        <v>28</v>
      </c>
      <c r="Q9" s="4" t="s">
        <v>28</v>
      </c>
      <c r="R9" s="8">
        <v>46254.035705300928</v>
      </c>
      <c r="S9" s="4" t="s">
        <v>29</v>
      </c>
      <c r="T9" s="4" t="s">
        <v>30</v>
      </c>
    </row>
    <row r="10" spans="1:20" x14ac:dyDescent="0.3">
      <c r="A10" s="4" t="s">
        <v>21</v>
      </c>
      <c r="B10" s="4" t="s">
        <v>22</v>
      </c>
      <c r="C10" s="4" t="s">
        <v>32</v>
      </c>
      <c r="D10" s="5">
        <v>0.1</v>
      </c>
      <c r="E10" s="4" t="s">
        <v>24</v>
      </c>
      <c r="F10" s="4" t="s">
        <v>25</v>
      </c>
      <c r="G10" s="4" t="s">
        <v>26</v>
      </c>
      <c r="H10" s="4" t="s">
        <v>31</v>
      </c>
      <c r="I10" s="6">
        <v>786744.24857000005</v>
      </c>
      <c r="J10" s="7">
        <v>0.01</v>
      </c>
      <c r="K10" s="7">
        <v>9.9999997764825821E-3</v>
      </c>
      <c r="L10" s="4" t="s">
        <v>28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8">
        <v>46254.035705300928</v>
      </c>
      <c r="S10" s="4" t="s">
        <v>29</v>
      </c>
      <c r="T10" s="4" t="s">
        <v>30</v>
      </c>
    </row>
    <row r="11" spans="1:20" x14ac:dyDescent="0.3">
      <c r="A11" s="4" t="s">
        <v>21</v>
      </c>
      <c r="B11" s="4" t="s">
        <v>33</v>
      </c>
      <c r="C11" s="4" t="s">
        <v>23</v>
      </c>
      <c r="D11" s="5">
        <v>0.05</v>
      </c>
      <c r="E11" s="4" t="s">
        <v>24</v>
      </c>
      <c r="F11" s="4" t="s">
        <v>25</v>
      </c>
      <c r="G11" s="4" t="s">
        <v>26</v>
      </c>
      <c r="H11" s="4" t="s">
        <v>27</v>
      </c>
      <c r="I11" s="6">
        <v>2392.287797</v>
      </c>
      <c r="J11" s="7">
        <v>0.01</v>
      </c>
      <c r="K11" s="7">
        <v>9.9999997764825821E-3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8">
        <v>46254.035705300928</v>
      </c>
      <c r="S11" s="4" t="s">
        <v>29</v>
      </c>
      <c r="T11" s="4" t="s">
        <v>30</v>
      </c>
    </row>
    <row r="12" spans="1:20" x14ac:dyDescent="0.3">
      <c r="A12" s="4" t="s">
        <v>21</v>
      </c>
      <c r="B12" s="4" t="s">
        <v>33</v>
      </c>
      <c r="C12" s="4" t="s">
        <v>23</v>
      </c>
      <c r="D12" s="5">
        <v>0.05</v>
      </c>
      <c r="E12" s="4" t="s">
        <v>24</v>
      </c>
      <c r="F12" s="4" t="s">
        <v>25</v>
      </c>
      <c r="G12" s="4" t="s">
        <v>26</v>
      </c>
      <c r="H12" s="4" t="s">
        <v>31</v>
      </c>
      <c r="I12" s="6">
        <v>681157.816444</v>
      </c>
      <c r="J12" s="7">
        <v>0.01</v>
      </c>
      <c r="K12" s="7">
        <v>9.9999997764825821E-3</v>
      </c>
      <c r="L12" s="4" t="s">
        <v>28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8">
        <v>46254.035705300928</v>
      </c>
      <c r="S12" s="4" t="s">
        <v>29</v>
      </c>
      <c r="T12" s="4" t="s">
        <v>30</v>
      </c>
    </row>
    <row r="13" spans="1:20" x14ac:dyDescent="0.3">
      <c r="A13" s="4" t="s">
        <v>21</v>
      </c>
      <c r="B13" s="4" t="s">
        <v>33</v>
      </c>
      <c r="C13" s="4" t="s">
        <v>23</v>
      </c>
      <c r="D13" s="5">
        <v>0.1</v>
      </c>
      <c r="E13" s="4" t="s">
        <v>24</v>
      </c>
      <c r="F13" s="4" t="s">
        <v>25</v>
      </c>
      <c r="G13" s="4" t="s">
        <v>26</v>
      </c>
      <c r="H13" s="4" t="s">
        <v>27</v>
      </c>
      <c r="I13" s="6">
        <v>1908.1311479999999</v>
      </c>
      <c r="J13" s="7">
        <v>0.01</v>
      </c>
      <c r="K13" s="7">
        <v>9.9999997764825821E-3</v>
      </c>
      <c r="L13" s="4" t="s">
        <v>28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8">
        <v>46254.035705300928</v>
      </c>
      <c r="S13" s="4" t="s">
        <v>29</v>
      </c>
      <c r="T13" s="4" t="s">
        <v>30</v>
      </c>
    </row>
    <row r="14" spans="1:20" x14ac:dyDescent="0.3">
      <c r="A14" s="4" t="s">
        <v>21</v>
      </c>
      <c r="B14" s="4" t="s">
        <v>33</v>
      </c>
      <c r="C14" s="4" t="s">
        <v>23</v>
      </c>
      <c r="D14" s="5">
        <v>0.1</v>
      </c>
      <c r="E14" s="4" t="s">
        <v>24</v>
      </c>
      <c r="F14" s="4" t="s">
        <v>25</v>
      </c>
      <c r="G14" s="4" t="s">
        <v>26</v>
      </c>
      <c r="H14" s="4" t="s">
        <v>31</v>
      </c>
      <c r="I14" s="6">
        <v>680673.65979499999</v>
      </c>
      <c r="J14" s="7">
        <v>0.01</v>
      </c>
      <c r="K14" s="7">
        <v>9.9999997764825821E-3</v>
      </c>
      <c r="L14" s="4" t="s">
        <v>28</v>
      </c>
      <c r="M14" s="4" t="s">
        <v>28</v>
      </c>
      <c r="N14" s="4" t="s">
        <v>28</v>
      </c>
      <c r="O14" s="4" t="s">
        <v>28</v>
      </c>
      <c r="P14" s="4" t="s">
        <v>28</v>
      </c>
      <c r="Q14" s="4" t="s">
        <v>28</v>
      </c>
      <c r="R14" s="8">
        <v>46254.035705300928</v>
      </c>
      <c r="S14" s="4" t="s">
        <v>29</v>
      </c>
      <c r="T14" s="4" t="s">
        <v>30</v>
      </c>
    </row>
    <row r="15" spans="1:20" x14ac:dyDescent="0.3">
      <c r="A15" s="4" t="s">
        <v>21</v>
      </c>
      <c r="B15" s="4" t="s">
        <v>33</v>
      </c>
      <c r="C15" s="4" t="s">
        <v>32</v>
      </c>
      <c r="D15" s="5">
        <v>0.05</v>
      </c>
      <c r="E15" s="4" t="s">
        <v>24</v>
      </c>
      <c r="F15" s="4" t="s">
        <v>25</v>
      </c>
      <c r="G15" s="4" t="s">
        <v>26</v>
      </c>
      <c r="H15" s="4" t="s">
        <v>27</v>
      </c>
      <c r="I15" s="6">
        <v>2011.80539</v>
      </c>
      <c r="J15" s="7">
        <v>0.01</v>
      </c>
      <c r="K15" s="7">
        <v>9.9999997764825821E-3</v>
      </c>
      <c r="L15" s="4" t="s">
        <v>28</v>
      </c>
      <c r="M15" s="4" t="s">
        <v>28</v>
      </c>
      <c r="N15" s="4" t="s">
        <v>28</v>
      </c>
      <c r="O15" s="4" t="s">
        <v>28</v>
      </c>
      <c r="P15" s="4" t="s">
        <v>28</v>
      </c>
      <c r="Q15" s="4" t="s">
        <v>28</v>
      </c>
      <c r="R15" s="8">
        <v>46254.035705300928</v>
      </c>
      <c r="S15" s="4" t="s">
        <v>29</v>
      </c>
      <c r="T15" s="4" t="s">
        <v>30</v>
      </c>
    </row>
    <row r="16" spans="1:20" x14ac:dyDescent="0.3">
      <c r="A16" s="4" t="s">
        <v>21</v>
      </c>
      <c r="B16" s="4" t="s">
        <v>33</v>
      </c>
      <c r="C16" s="4" t="s">
        <v>32</v>
      </c>
      <c r="D16" s="5">
        <v>0.05</v>
      </c>
      <c r="E16" s="4" t="s">
        <v>24</v>
      </c>
      <c r="F16" s="4" t="s">
        <v>25</v>
      </c>
      <c r="G16" s="4" t="s">
        <v>26</v>
      </c>
      <c r="H16" s="4" t="s">
        <v>31</v>
      </c>
      <c r="I16" s="6">
        <v>786973.11481299996</v>
      </c>
      <c r="J16" s="7">
        <v>0.01</v>
      </c>
      <c r="K16" s="7">
        <v>9.9999997764825821E-3</v>
      </c>
      <c r="L16" s="4" t="s">
        <v>28</v>
      </c>
      <c r="M16" s="4" t="s">
        <v>28</v>
      </c>
      <c r="N16" s="4" t="s">
        <v>28</v>
      </c>
      <c r="O16" s="4" t="s">
        <v>28</v>
      </c>
      <c r="P16" s="4" t="s">
        <v>28</v>
      </c>
      <c r="Q16" s="4" t="s">
        <v>28</v>
      </c>
      <c r="R16" s="8">
        <v>46254.035705300928</v>
      </c>
      <c r="S16" s="4" t="s">
        <v>29</v>
      </c>
      <c r="T16" s="4" t="s">
        <v>30</v>
      </c>
    </row>
    <row r="17" spans="1:20" x14ac:dyDescent="0.3">
      <c r="A17" s="4" t="s">
        <v>21</v>
      </c>
      <c r="B17" s="4" t="s">
        <v>33</v>
      </c>
      <c r="C17" s="4" t="s">
        <v>32</v>
      </c>
      <c r="D17" s="5">
        <v>0.1</v>
      </c>
      <c r="E17" s="4" t="s">
        <v>24</v>
      </c>
      <c r="F17" s="4" t="s">
        <v>25</v>
      </c>
      <c r="G17" s="4" t="s">
        <v>26</v>
      </c>
      <c r="H17" s="4" t="s">
        <v>27</v>
      </c>
      <c r="I17" s="6">
        <v>1622.3307400000001</v>
      </c>
      <c r="J17" s="7">
        <v>0.01</v>
      </c>
      <c r="K17" s="7">
        <v>9.9999997764825821E-3</v>
      </c>
      <c r="L17" s="4" t="s">
        <v>28</v>
      </c>
      <c r="M17" s="4" t="s">
        <v>28</v>
      </c>
      <c r="N17" s="4" t="s">
        <v>28</v>
      </c>
      <c r="O17" s="4" t="s">
        <v>28</v>
      </c>
      <c r="P17" s="4" t="s">
        <v>28</v>
      </c>
      <c r="Q17" s="4" t="s">
        <v>28</v>
      </c>
      <c r="R17" s="8">
        <v>46254.035705300928</v>
      </c>
      <c r="S17" s="4" t="s">
        <v>29</v>
      </c>
      <c r="T17" s="4" t="s">
        <v>30</v>
      </c>
    </row>
    <row r="18" spans="1:20" x14ac:dyDescent="0.3">
      <c r="A18" s="4" t="s">
        <v>21</v>
      </c>
      <c r="B18" s="4" t="s">
        <v>33</v>
      </c>
      <c r="C18" s="4" t="s">
        <v>32</v>
      </c>
      <c r="D18" s="5">
        <v>0.1</v>
      </c>
      <c r="E18" s="4" t="s">
        <v>24</v>
      </c>
      <c r="F18" s="4" t="s">
        <v>25</v>
      </c>
      <c r="G18" s="4" t="s">
        <v>26</v>
      </c>
      <c r="H18" s="4" t="s">
        <v>31</v>
      </c>
      <c r="I18" s="6">
        <v>786583.64016399998</v>
      </c>
      <c r="J18" s="7">
        <v>0.01</v>
      </c>
      <c r="K18" s="7">
        <v>9.9999997764825821E-3</v>
      </c>
      <c r="L18" s="4" t="s">
        <v>28</v>
      </c>
      <c r="M18" s="4" t="s">
        <v>28</v>
      </c>
      <c r="N18" s="4" t="s">
        <v>28</v>
      </c>
      <c r="O18" s="4" t="s">
        <v>28</v>
      </c>
      <c r="P18" s="4" t="s">
        <v>28</v>
      </c>
      <c r="Q18" s="4" t="s">
        <v>28</v>
      </c>
      <c r="R18" s="8">
        <v>46254.035705300928</v>
      </c>
      <c r="S18" s="4" t="s">
        <v>29</v>
      </c>
      <c r="T18" s="4" t="s">
        <v>30</v>
      </c>
    </row>
    <row r="19" spans="1:20" x14ac:dyDescent="0.3">
      <c r="A19" s="4" t="s">
        <v>21</v>
      </c>
      <c r="B19" s="4" t="s">
        <v>34</v>
      </c>
      <c r="C19" s="4" t="s">
        <v>23</v>
      </c>
      <c r="D19" s="5">
        <v>0.05</v>
      </c>
      <c r="E19" s="4" t="s">
        <v>24</v>
      </c>
      <c r="F19" s="4" t="s">
        <v>25</v>
      </c>
      <c r="G19" s="4" t="s">
        <v>26</v>
      </c>
      <c r="H19" s="4" t="s">
        <v>27</v>
      </c>
      <c r="I19" s="6">
        <v>1589.7540039999999</v>
      </c>
      <c r="J19" s="7">
        <v>0.01</v>
      </c>
      <c r="K19" s="7">
        <v>9.9999997764825821E-3</v>
      </c>
      <c r="L19" s="4" t="s">
        <v>28</v>
      </c>
      <c r="M19" s="4" t="s">
        <v>28</v>
      </c>
      <c r="N19" s="4" t="s">
        <v>28</v>
      </c>
      <c r="O19" s="4" t="s">
        <v>28</v>
      </c>
      <c r="P19" s="4" t="s">
        <v>28</v>
      </c>
      <c r="Q19" s="4" t="s">
        <v>28</v>
      </c>
      <c r="R19" s="8">
        <v>46254.035705300928</v>
      </c>
      <c r="S19" s="4" t="s">
        <v>29</v>
      </c>
      <c r="T19" s="4" t="s">
        <v>30</v>
      </c>
    </row>
    <row r="20" spans="1:20" x14ac:dyDescent="0.3">
      <c r="A20" s="4" t="s">
        <v>21</v>
      </c>
      <c r="B20" s="4" t="s">
        <v>34</v>
      </c>
      <c r="C20" s="4" t="s">
        <v>23</v>
      </c>
      <c r="D20" s="5">
        <v>0.05</v>
      </c>
      <c r="E20" s="4" t="s">
        <v>24</v>
      </c>
      <c r="F20" s="4" t="s">
        <v>25</v>
      </c>
      <c r="G20" s="4" t="s">
        <v>26</v>
      </c>
      <c r="H20" s="4" t="s">
        <v>31</v>
      </c>
      <c r="I20" s="6">
        <v>680355.28264999995</v>
      </c>
      <c r="J20" s="7">
        <v>0.01</v>
      </c>
      <c r="K20" s="7">
        <v>9.9999997764825821E-3</v>
      </c>
      <c r="L20" s="4" t="s">
        <v>28</v>
      </c>
      <c r="M20" s="4" t="s">
        <v>28</v>
      </c>
      <c r="N20" s="4" t="s">
        <v>28</v>
      </c>
      <c r="O20" s="4" t="s">
        <v>28</v>
      </c>
      <c r="P20" s="4" t="s">
        <v>28</v>
      </c>
      <c r="Q20" s="4" t="s">
        <v>28</v>
      </c>
      <c r="R20" s="8">
        <v>46254.035705300928</v>
      </c>
      <c r="S20" s="4" t="s">
        <v>29</v>
      </c>
      <c r="T20" s="4" t="s">
        <v>30</v>
      </c>
    </row>
    <row r="21" spans="1:20" x14ac:dyDescent="0.3">
      <c r="A21" s="4" t="s">
        <v>21</v>
      </c>
      <c r="B21" s="4" t="s">
        <v>34</v>
      </c>
      <c r="C21" s="4" t="s">
        <v>23</v>
      </c>
      <c r="D21" s="5">
        <v>0.1</v>
      </c>
      <c r="E21" s="4" t="s">
        <v>24</v>
      </c>
      <c r="F21" s="4" t="s">
        <v>25</v>
      </c>
      <c r="G21" s="4" t="s">
        <v>26</v>
      </c>
      <c r="H21" s="4" t="s">
        <v>27</v>
      </c>
      <c r="I21" s="6">
        <v>1337.231984</v>
      </c>
      <c r="J21" s="7">
        <v>0.01</v>
      </c>
      <c r="K21" s="7">
        <v>9.9999997764825821E-3</v>
      </c>
      <c r="L21" s="4" t="s">
        <v>28</v>
      </c>
      <c r="M21" s="4" t="s">
        <v>28</v>
      </c>
      <c r="N21" s="4" t="s">
        <v>28</v>
      </c>
      <c r="O21" s="4" t="s">
        <v>28</v>
      </c>
      <c r="P21" s="4" t="s">
        <v>28</v>
      </c>
      <c r="Q21" s="4" t="s">
        <v>28</v>
      </c>
      <c r="R21" s="8">
        <v>46254.035705300928</v>
      </c>
      <c r="S21" s="4" t="s">
        <v>29</v>
      </c>
      <c r="T21" s="4" t="s">
        <v>30</v>
      </c>
    </row>
    <row r="22" spans="1:20" x14ac:dyDescent="0.3">
      <c r="A22" s="4" t="s">
        <v>21</v>
      </c>
      <c r="B22" s="4" t="s">
        <v>34</v>
      </c>
      <c r="C22" s="4" t="s">
        <v>23</v>
      </c>
      <c r="D22" s="5">
        <v>0.1</v>
      </c>
      <c r="E22" s="4" t="s">
        <v>24</v>
      </c>
      <c r="F22" s="4" t="s">
        <v>25</v>
      </c>
      <c r="G22" s="4" t="s">
        <v>26</v>
      </c>
      <c r="H22" s="4" t="s">
        <v>31</v>
      </c>
      <c r="I22" s="6">
        <v>680102.76063000003</v>
      </c>
      <c r="J22" s="7">
        <v>0.01</v>
      </c>
      <c r="K22" s="7">
        <v>9.9999997764825821E-3</v>
      </c>
      <c r="L22" s="4" t="s">
        <v>28</v>
      </c>
      <c r="M22" s="4" t="s">
        <v>28</v>
      </c>
      <c r="N22" s="4" t="s">
        <v>28</v>
      </c>
      <c r="O22" s="4" t="s">
        <v>28</v>
      </c>
      <c r="P22" s="4" t="s">
        <v>28</v>
      </c>
      <c r="Q22" s="4" t="s">
        <v>28</v>
      </c>
      <c r="R22" s="8">
        <v>46254.035705300928</v>
      </c>
      <c r="S22" s="4" t="s">
        <v>29</v>
      </c>
      <c r="T22" s="4" t="s">
        <v>30</v>
      </c>
    </row>
    <row r="23" spans="1:20" x14ac:dyDescent="0.3">
      <c r="A23" s="4" t="s">
        <v>21</v>
      </c>
      <c r="B23" s="4" t="s">
        <v>34</v>
      </c>
      <c r="C23" s="4" t="s">
        <v>32</v>
      </c>
      <c r="D23" s="5">
        <v>0.05</v>
      </c>
      <c r="E23" s="4" t="s">
        <v>24</v>
      </c>
      <c r="F23" s="4" t="s">
        <v>25</v>
      </c>
      <c r="G23" s="4" t="s">
        <v>26</v>
      </c>
      <c r="H23" s="4" t="s">
        <v>27</v>
      </c>
      <c r="I23" s="6">
        <v>1279.3888139999999</v>
      </c>
      <c r="J23" s="7">
        <v>0.01</v>
      </c>
      <c r="K23" s="7">
        <v>9.9999997764825821E-3</v>
      </c>
      <c r="L23" s="4" t="s">
        <v>28</v>
      </c>
      <c r="M23" s="4" t="s">
        <v>28</v>
      </c>
      <c r="N23" s="4" t="s">
        <v>28</v>
      </c>
      <c r="O23" s="4" t="s">
        <v>28</v>
      </c>
      <c r="P23" s="4" t="s">
        <v>28</v>
      </c>
      <c r="Q23" s="4" t="s">
        <v>28</v>
      </c>
      <c r="R23" s="8">
        <v>46254.035705312497</v>
      </c>
      <c r="S23" s="4" t="s">
        <v>29</v>
      </c>
      <c r="T23" s="4" t="s">
        <v>30</v>
      </c>
    </row>
    <row r="24" spans="1:20" x14ac:dyDescent="0.3">
      <c r="A24" s="4" t="s">
        <v>21</v>
      </c>
      <c r="B24" s="4" t="s">
        <v>34</v>
      </c>
      <c r="C24" s="4" t="s">
        <v>32</v>
      </c>
      <c r="D24" s="5">
        <v>0.05</v>
      </c>
      <c r="E24" s="4" t="s">
        <v>24</v>
      </c>
      <c r="F24" s="4" t="s">
        <v>25</v>
      </c>
      <c r="G24" s="4" t="s">
        <v>26</v>
      </c>
      <c r="H24" s="4" t="s">
        <v>31</v>
      </c>
      <c r="I24" s="6">
        <v>786240.69823800004</v>
      </c>
      <c r="J24" s="7">
        <v>0.01</v>
      </c>
      <c r="K24" s="7">
        <v>9.9999997764825821E-3</v>
      </c>
      <c r="L24" s="4" t="s">
        <v>28</v>
      </c>
      <c r="M24" s="4" t="s">
        <v>28</v>
      </c>
      <c r="N24" s="4" t="s">
        <v>28</v>
      </c>
      <c r="O24" s="4" t="s">
        <v>28</v>
      </c>
      <c r="P24" s="4" t="s">
        <v>28</v>
      </c>
      <c r="Q24" s="4" t="s">
        <v>28</v>
      </c>
      <c r="R24" s="8">
        <v>46254.035705312497</v>
      </c>
      <c r="S24" s="4" t="s">
        <v>29</v>
      </c>
      <c r="T24" s="4" t="s">
        <v>30</v>
      </c>
    </row>
    <row r="25" spans="1:20" x14ac:dyDescent="0.3">
      <c r="A25" s="4" t="s">
        <v>21</v>
      </c>
      <c r="B25" s="4" t="s">
        <v>34</v>
      </c>
      <c r="C25" s="4" t="s">
        <v>32</v>
      </c>
      <c r="D25" s="5">
        <v>0.1</v>
      </c>
      <c r="E25" s="4" t="s">
        <v>24</v>
      </c>
      <c r="F25" s="4" t="s">
        <v>25</v>
      </c>
      <c r="G25" s="4" t="s">
        <v>26</v>
      </c>
      <c r="H25" s="4" t="s">
        <v>27</v>
      </c>
      <c r="I25" s="6">
        <v>1080.4547990000001</v>
      </c>
      <c r="J25" s="7">
        <v>0.01</v>
      </c>
      <c r="K25" s="7">
        <v>9.9999997764825821E-3</v>
      </c>
      <c r="L25" s="4" t="s">
        <v>28</v>
      </c>
      <c r="M25" s="4" t="s">
        <v>28</v>
      </c>
      <c r="N25" s="4" t="s">
        <v>28</v>
      </c>
      <c r="O25" s="4" t="s">
        <v>28</v>
      </c>
      <c r="P25" s="4" t="s">
        <v>28</v>
      </c>
      <c r="Q25" s="4" t="s">
        <v>28</v>
      </c>
      <c r="R25" s="8">
        <v>46254.035705312497</v>
      </c>
      <c r="S25" s="4" t="s">
        <v>29</v>
      </c>
      <c r="T25" s="4" t="s">
        <v>30</v>
      </c>
    </row>
    <row r="26" spans="1:20" x14ac:dyDescent="0.3">
      <c r="A26" s="4" t="s">
        <v>21</v>
      </c>
      <c r="B26" s="4" t="s">
        <v>34</v>
      </c>
      <c r="C26" s="4" t="s">
        <v>32</v>
      </c>
      <c r="D26" s="5">
        <v>0.1</v>
      </c>
      <c r="E26" s="4" t="s">
        <v>24</v>
      </c>
      <c r="F26" s="4" t="s">
        <v>25</v>
      </c>
      <c r="G26" s="4" t="s">
        <v>26</v>
      </c>
      <c r="H26" s="4" t="s">
        <v>31</v>
      </c>
      <c r="I26" s="6">
        <v>786041.76422200003</v>
      </c>
      <c r="J26" s="7">
        <v>0.01</v>
      </c>
      <c r="K26" s="7">
        <v>9.9999997764825821E-3</v>
      </c>
      <c r="L26" s="4" t="s">
        <v>28</v>
      </c>
      <c r="M26" s="4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8">
        <v>46254.035705312497</v>
      </c>
      <c r="S26" s="4" t="s">
        <v>29</v>
      </c>
      <c r="T26" s="4" t="s">
        <v>30</v>
      </c>
    </row>
    <row r="27" spans="1:20" x14ac:dyDescent="0.3">
      <c r="A27" s="4" t="s">
        <v>21</v>
      </c>
      <c r="B27" s="4" t="s">
        <v>35</v>
      </c>
      <c r="C27" s="4" t="s">
        <v>23</v>
      </c>
      <c r="D27" s="5">
        <v>0.05</v>
      </c>
      <c r="E27" s="4" t="s">
        <v>24</v>
      </c>
      <c r="F27" s="4" t="s">
        <v>25</v>
      </c>
      <c r="G27" s="4" t="s">
        <v>26</v>
      </c>
      <c r="H27" s="4" t="s">
        <v>27</v>
      </c>
      <c r="I27" s="6">
        <v>1051.832676</v>
      </c>
      <c r="J27" s="7">
        <v>0.01</v>
      </c>
      <c r="K27" s="7">
        <v>9.9999997764825821E-3</v>
      </c>
      <c r="L27" s="4" t="s">
        <v>28</v>
      </c>
      <c r="M27" s="4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8">
        <v>46254.035705312497</v>
      </c>
      <c r="S27" s="4" t="s">
        <v>29</v>
      </c>
      <c r="T27" s="4" t="s">
        <v>30</v>
      </c>
    </row>
    <row r="28" spans="1:20" x14ac:dyDescent="0.3">
      <c r="A28" s="4" t="s">
        <v>21</v>
      </c>
      <c r="B28" s="4" t="s">
        <v>35</v>
      </c>
      <c r="C28" s="4" t="s">
        <v>23</v>
      </c>
      <c r="D28" s="5">
        <v>0.05</v>
      </c>
      <c r="E28" s="4" t="s">
        <v>24</v>
      </c>
      <c r="F28" s="4" t="s">
        <v>25</v>
      </c>
      <c r="G28" s="4" t="s">
        <v>26</v>
      </c>
      <c r="H28" s="4" t="s">
        <v>31</v>
      </c>
      <c r="I28" s="6">
        <v>679817.36132200004</v>
      </c>
      <c r="J28" s="7">
        <v>0.01</v>
      </c>
      <c r="K28" s="7">
        <v>9.9999997764825821E-3</v>
      </c>
      <c r="L28" s="4" t="s">
        <v>28</v>
      </c>
      <c r="M28" s="4" t="s">
        <v>28</v>
      </c>
      <c r="N28" s="4" t="s">
        <v>28</v>
      </c>
      <c r="O28" s="4" t="s">
        <v>28</v>
      </c>
      <c r="P28" s="4" t="s">
        <v>28</v>
      </c>
      <c r="Q28" s="4" t="s">
        <v>28</v>
      </c>
      <c r="R28" s="8">
        <v>46254.035705312497</v>
      </c>
      <c r="S28" s="4" t="s">
        <v>29</v>
      </c>
      <c r="T28" s="4" t="s">
        <v>30</v>
      </c>
    </row>
    <row r="29" spans="1:20" x14ac:dyDescent="0.3">
      <c r="A29" s="4" t="s">
        <v>21</v>
      </c>
      <c r="B29" s="4" t="s">
        <v>35</v>
      </c>
      <c r="C29" s="4" t="s">
        <v>23</v>
      </c>
      <c r="D29" s="5">
        <v>0.1</v>
      </c>
      <c r="E29" s="4" t="s">
        <v>24</v>
      </c>
      <c r="F29" s="4" t="s">
        <v>25</v>
      </c>
      <c r="G29" s="4" t="s">
        <v>26</v>
      </c>
      <c r="H29" s="4" t="s">
        <v>27</v>
      </c>
      <c r="I29" s="6">
        <v>947.77126299999998</v>
      </c>
      <c r="J29" s="7">
        <v>0.01</v>
      </c>
      <c r="K29" s="7">
        <v>9.9999997764825821E-3</v>
      </c>
      <c r="L29" s="4" t="s">
        <v>28</v>
      </c>
      <c r="M29" s="4" t="s">
        <v>28</v>
      </c>
      <c r="N29" s="4" t="s">
        <v>28</v>
      </c>
      <c r="O29" s="4" t="s">
        <v>28</v>
      </c>
      <c r="P29" s="4" t="s">
        <v>28</v>
      </c>
      <c r="Q29" s="4" t="s">
        <v>28</v>
      </c>
      <c r="R29" s="8">
        <v>46254.035705312497</v>
      </c>
      <c r="S29" s="4" t="s">
        <v>29</v>
      </c>
      <c r="T29" s="4" t="s">
        <v>30</v>
      </c>
    </row>
    <row r="30" spans="1:20" x14ac:dyDescent="0.3">
      <c r="A30" s="4" t="s">
        <v>21</v>
      </c>
      <c r="B30" s="4" t="s">
        <v>35</v>
      </c>
      <c r="C30" s="4" t="s">
        <v>23</v>
      </c>
      <c r="D30" s="5">
        <v>0.1</v>
      </c>
      <c r="E30" s="4" t="s">
        <v>24</v>
      </c>
      <c r="F30" s="4" t="s">
        <v>25</v>
      </c>
      <c r="G30" s="4" t="s">
        <v>26</v>
      </c>
      <c r="H30" s="4" t="s">
        <v>31</v>
      </c>
      <c r="I30" s="6">
        <v>679713.29990999994</v>
      </c>
      <c r="J30" s="7">
        <v>0.01</v>
      </c>
      <c r="K30" s="7">
        <v>9.9999997764825821E-3</v>
      </c>
      <c r="L30" s="4" t="s">
        <v>28</v>
      </c>
      <c r="M30" s="4" t="s">
        <v>28</v>
      </c>
      <c r="N30" s="4" t="s">
        <v>28</v>
      </c>
      <c r="O30" s="4" t="s">
        <v>28</v>
      </c>
      <c r="P30" s="4" t="s">
        <v>28</v>
      </c>
      <c r="Q30" s="4" t="s">
        <v>28</v>
      </c>
      <c r="R30" s="8">
        <v>46254.035705312497</v>
      </c>
      <c r="S30" s="4" t="s">
        <v>29</v>
      </c>
      <c r="T30" s="4" t="s">
        <v>30</v>
      </c>
    </row>
    <row r="31" spans="1:20" x14ac:dyDescent="0.3">
      <c r="A31" s="4" t="s">
        <v>21</v>
      </c>
      <c r="B31" s="4" t="s">
        <v>35</v>
      </c>
      <c r="C31" s="4" t="s">
        <v>32</v>
      </c>
      <c r="D31" s="5">
        <v>0.05</v>
      </c>
      <c r="E31" s="4" t="s">
        <v>24</v>
      </c>
      <c r="F31" s="4" t="s">
        <v>25</v>
      </c>
      <c r="G31" s="4" t="s">
        <v>26</v>
      </c>
      <c r="H31" s="4" t="s">
        <v>27</v>
      </c>
      <c r="I31" s="6">
        <v>852.74789099999998</v>
      </c>
      <c r="J31" s="7">
        <v>0.01</v>
      </c>
      <c r="K31" s="7">
        <v>9.9999997764825821E-3</v>
      </c>
      <c r="L31" s="4" t="s">
        <v>28</v>
      </c>
      <c r="M31" s="4" t="s">
        <v>28</v>
      </c>
      <c r="N31" s="4" t="s">
        <v>28</v>
      </c>
      <c r="O31" s="4" t="s">
        <v>28</v>
      </c>
      <c r="P31" s="4" t="s">
        <v>28</v>
      </c>
      <c r="Q31" s="4" t="s">
        <v>28</v>
      </c>
      <c r="R31" s="8">
        <v>46254.035705312497</v>
      </c>
      <c r="S31" s="4" t="s">
        <v>29</v>
      </c>
      <c r="T31" s="4" t="s">
        <v>30</v>
      </c>
    </row>
    <row r="32" spans="1:20" x14ac:dyDescent="0.3">
      <c r="A32" s="4" t="s">
        <v>21</v>
      </c>
      <c r="B32" s="4" t="s">
        <v>35</v>
      </c>
      <c r="C32" s="4" t="s">
        <v>32</v>
      </c>
      <c r="D32" s="5">
        <v>0.05</v>
      </c>
      <c r="E32" s="4" t="s">
        <v>24</v>
      </c>
      <c r="F32" s="4" t="s">
        <v>25</v>
      </c>
      <c r="G32" s="4" t="s">
        <v>26</v>
      </c>
      <c r="H32" s="4" t="s">
        <v>31</v>
      </c>
      <c r="I32" s="6">
        <v>785814.05731499998</v>
      </c>
      <c r="J32" s="7">
        <v>0.01</v>
      </c>
      <c r="K32" s="7">
        <v>9.9999997764825821E-3</v>
      </c>
      <c r="L32" s="4" t="s">
        <v>28</v>
      </c>
      <c r="M32" s="4" t="s">
        <v>28</v>
      </c>
      <c r="N32" s="4" t="s">
        <v>28</v>
      </c>
      <c r="O32" s="4" t="s">
        <v>28</v>
      </c>
      <c r="P32" s="4" t="s">
        <v>28</v>
      </c>
      <c r="Q32" s="4" t="s">
        <v>28</v>
      </c>
      <c r="R32" s="8">
        <v>46254.035705312497</v>
      </c>
      <c r="S32" s="4" t="s">
        <v>29</v>
      </c>
      <c r="T32" s="4" t="s">
        <v>30</v>
      </c>
    </row>
    <row r="33" spans="1:20" x14ac:dyDescent="0.3">
      <c r="A33" s="4" t="s">
        <v>21</v>
      </c>
      <c r="B33" s="4" t="s">
        <v>35</v>
      </c>
      <c r="C33" s="4" t="s">
        <v>32</v>
      </c>
      <c r="D33" s="5">
        <v>0.1</v>
      </c>
      <c r="E33" s="4" t="s">
        <v>24</v>
      </c>
      <c r="F33" s="4" t="s">
        <v>25</v>
      </c>
      <c r="G33" s="4" t="s">
        <v>26</v>
      </c>
      <c r="H33" s="4" t="s">
        <v>27</v>
      </c>
      <c r="I33" s="6">
        <v>771.51991099999998</v>
      </c>
      <c r="J33" s="7">
        <v>0.01</v>
      </c>
      <c r="K33" s="7">
        <v>9.9999997764825821E-3</v>
      </c>
      <c r="L33" s="4" t="s">
        <v>28</v>
      </c>
      <c r="M33" s="4" t="s">
        <v>28</v>
      </c>
      <c r="N33" s="4" t="s">
        <v>28</v>
      </c>
      <c r="O33" s="4" t="s">
        <v>28</v>
      </c>
      <c r="P33" s="4" t="s">
        <v>28</v>
      </c>
      <c r="Q33" s="4" t="s">
        <v>28</v>
      </c>
      <c r="R33" s="8">
        <v>46254.035705312497</v>
      </c>
      <c r="S33" s="4" t="s">
        <v>29</v>
      </c>
      <c r="T33" s="4" t="s">
        <v>30</v>
      </c>
    </row>
    <row r="34" spans="1:20" x14ac:dyDescent="0.3">
      <c r="A34" s="4" t="s">
        <v>21</v>
      </c>
      <c r="B34" s="4" t="s">
        <v>35</v>
      </c>
      <c r="C34" s="4" t="s">
        <v>32</v>
      </c>
      <c r="D34" s="5">
        <v>0.1</v>
      </c>
      <c r="E34" s="4" t="s">
        <v>24</v>
      </c>
      <c r="F34" s="4" t="s">
        <v>25</v>
      </c>
      <c r="G34" s="4" t="s">
        <v>26</v>
      </c>
      <c r="H34" s="4" t="s">
        <v>31</v>
      </c>
      <c r="I34" s="6">
        <v>785732.82933400001</v>
      </c>
      <c r="J34" s="7">
        <v>0.01</v>
      </c>
      <c r="K34" s="7">
        <v>9.9999997764825821E-3</v>
      </c>
      <c r="L34" s="4" t="s">
        <v>28</v>
      </c>
      <c r="M34" s="4" t="s">
        <v>28</v>
      </c>
      <c r="N34" s="4" t="s">
        <v>28</v>
      </c>
      <c r="O34" s="4" t="s">
        <v>28</v>
      </c>
      <c r="P34" s="4" t="s">
        <v>28</v>
      </c>
      <c r="Q34" s="4" t="s">
        <v>28</v>
      </c>
      <c r="R34" s="8">
        <v>46254.035705312497</v>
      </c>
      <c r="S34" s="4" t="s">
        <v>29</v>
      </c>
      <c r="T34" s="4" t="s">
        <v>30</v>
      </c>
    </row>
    <row r="35" spans="1:20" x14ac:dyDescent="0.3">
      <c r="A35" s="4" t="s">
        <v>21</v>
      </c>
      <c r="B35" s="4" t="s">
        <v>36</v>
      </c>
      <c r="C35" s="4" t="s">
        <v>23</v>
      </c>
      <c r="D35" s="5">
        <v>0.05</v>
      </c>
      <c r="E35" s="4" t="s">
        <v>24</v>
      </c>
      <c r="F35" s="4" t="s">
        <v>25</v>
      </c>
      <c r="G35" s="4" t="s">
        <v>26</v>
      </c>
      <c r="H35" s="4" t="s">
        <v>27</v>
      </c>
      <c r="I35" s="6">
        <v>716.13672099999997</v>
      </c>
      <c r="J35" s="7">
        <v>0.01</v>
      </c>
      <c r="K35" s="7">
        <v>9.9999997764825821E-3</v>
      </c>
      <c r="L35" s="4" t="s">
        <v>28</v>
      </c>
      <c r="M35" s="4" t="s">
        <v>28</v>
      </c>
      <c r="N35" s="4" t="s">
        <v>28</v>
      </c>
      <c r="O35" s="4" t="s">
        <v>28</v>
      </c>
      <c r="P35" s="4" t="s">
        <v>28</v>
      </c>
      <c r="Q35" s="4" t="s">
        <v>28</v>
      </c>
      <c r="R35" s="8">
        <v>46254.035705312497</v>
      </c>
      <c r="S35" s="4" t="s">
        <v>29</v>
      </c>
      <c r="T35" s="4" t="s">
        <v>30</v>
      </c>
    </row>
    <row r="36" spans="1:20" x14ac:dyDescent="0.3">
      <c r="A36" s="4" t="s">
        <v>21</v>
      </c>
      <c r="B36" s="4" t="s">
        <v>36</v>
      </c>
      <c r="C36" s="4" t="s">
        <v>23</v>
      </c>
      <c r="D36" s="5">
        <v>0.05</v>
      </c>
      <c r="E36" s="4" t="s">
        <v>24</v>
      </c>
      <c r="F36" s="4" t="s">
        <v>25</v>
      </c>
      <c r="G36" s="4" t="s">
        <v>26</v>
      </c>
      <c r="H36" s="4" t="s">
        <v>31</v>
      </c>
      <c r="I36" s="6">
        <v>679481.66536700004</v>
      </c>
      <c r="J36" s="7">
        <v>0.01</v>
      </c>
      <c r="K36" s="7">
        <v>9.9999997764825821E-3</v>
      </c>
      <c r="L36" s="4" t="s">
        <v>28</v>
      </c>
      <c r="M36" s="4" t="s">
        <v>28</v>
      </c>
      <c r="N36" s="4" t="s">
        <v>28</v>
      </c>
      <c r="O36" s="4" t="s">
        <v>28</v>
      </c>
      <c r="P36" s="4" t="s">
        <v>28</v>
      </c>
      <c r="Q36" s="4" t="s">
        <v>28</v>
      </c>
      <c r="R36" s="8">
        <v>46254.035705312497</v>
      </c>
      <c r="S36" s="4" t="s">
        <v>29</v>
      </c>
      <c r="T36" s="4" t="s">
        <v>30</v>
      </c>
    </row>
    <row r="37" spans="1:20" x14ac:dyDescent="0.3">
      <c r="A37" s="4" t="s">
        <v>21</v>
      </c>
      <c r="B37" s="4" t="s">
        <v>36</v>
      </c>
      <c r="C37" s="4" t="s">
        <v>23</v>
      </c>
      <c r="D37" s="5">
        <v>0.1</v>
      </c>
      <c r="E37" s="4" t="s">
        <v>24</v>
      </c>
      <c r="F37" s="4" t="s">
        <v>25</v>
      </c>
      <c r="G37" s="4" t="s">
        <v>26</v>
      </c>
      <c r="H37" s="4" t="s">
        <v>27</v>
      </c>
      <c r="I37" s="6">
        <v>649.76321800000005</v>
      </c>
      <c r="J37" s="7">
        <v>0.01</v>
      </c>
      <c r="K37" s="7">
        <v>9.9999997764825821E-3</v>
      </c>
      <c r="L37" s="4" t="s">
        <v>28</v>
      </c>
      <c r="M37" s="4" t="s">
        <v>28</v>
      </c>
      <c r="N37" s="4" t="s">
        <v>28</v>
      </c>
      <c r="O37" s="4" t="s">
        <v>28</v>
      </c>
      <c r="P37" s="4" t="s">
        <v>28</v>
      </c>
      <c r="Q37" s="4" t="s">
        <v>28</v>
      </c>
      <c r="R37" s="8">
        <v>46254.035705312497</v>
      </c>
      <c r="S37" s="4" t="s">
        <v>29</v>
      </c>
      <c r="T37" s="4" t="s">
        <v>30</v>
      </c>
    </row>
    <row r="38" spans="1:20" x14ac:dyDescent="0.3">
      <c r="A38" s="4" t="s">
        <v>21</v>
      </c>
      <c r="B38" s="4" t="s">
        <v>36</v>
      </c>
      <c r="C38" s="4" t="s">
        <v>23</v>
      </c>
      <c r="D38" s="5">
        <v>0.1</v>
      </c>
      <c r="E38" s="4" t="s">
        <v>24</v>
      </c>
      <c r="F38" s="4" t="s">
        <v>25</v>
      </c>
      <c r="G38" s="4" t="s">
        <v>26</v>
      </c>
      <c r="H38" s="4" t="s">
        <v>31</v>
      </c>
      <c r="I38" s="6">
        <v>679415.29186500004</v>
      </c>
      <c r="J38" s="7">
        <v>0.01</v>
      </c>
      <c r="K38" s="7">
        <v>9.9999997764825821E-3</v>
      </c>
      <c r="L38" s="4" t="s">
        <v>28</v>
      </c>
      <c r="M38" s="4" t="s">
        <v>28</v>
      </c>
      <c r="N38" s="4" t="s">
        <v>28</v>
      </c>
      <c r="O38" s="4" t="s">
        <v>28</v>
      </c>
      <c r="P38" s="4" t="s">
        <v>28</v>
      </c>
      <c r="Q38" s="4" t="s">
        <v>28</v>
      </c>
      <c r="R38" s="8">
        <v>46254.035705312497</v>
      </c>
      <c r="S38" s="4" t="s">
        <v>29</v>
      </c>
      <c r="T38" s="4" t="s">
        <v>30</v>
      </c>
    </row>
    <row r="39" spans="1:20" x14ac:dyDescent="0.3">
      <c r="A39" s="4" t="s">
        <v>21</v>
      </c>
      <c r="B39" s="4" t="s">
        <v>36</v>
      </c>
      <c r="C39" s="4" t="s">
        <v>32</v>
      </c>
      <c r="D39" s="5">
        <v>0.05</v>
      </c>
      <c r="E39" s="4" t="s">
        <v>24</v>
      </c>
      <c r="F39" s="4" t="s">
        <v>25</v>
      </c>
      <c r="G39" s="4" t="s">
        <v>26</v>
      </c>
      <c r="H39" s="4" t="s">
        <v>27</v>
      </c>
      <c r="I39" s="6">
        <v>595.69564000000003</v>
      </c>
      <c r="J39" s="7">
        <v>0.01</v>
      </c>
      <c r="K39" s="7">
        <v>9.9999997764825821E-3</v>
      </c>
      <c r="L39" s="4" t="s">
        <v>28</v>
      </c>
      <c r="M39" s="4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8">
        <v>46254.035705312497</v>
      </c>
      <c r="S39" s="4" t="s">
        <v>29</v>
      </c>
      <c r="T39" s="4" t="s">
        <v>30</v>
      </c>
    </row>
    <row r="40" spans="1:20" x14ac:dyDescent="0.3">
      <c r="A40" s="4" t="s">
        <v>21</v>
      </c>
      <c r="B40" s="4" t="s">
        <v>36</v>
      </c>
      <c r="C40" s="4" t="s">
        <v>32</v>
      </c>
      <c r="D40" s="5">
        <v>0.05</v>
      </c>
      <c r="E40" s="4" t="s">
        <v>24</v>
      </c>
      <c r="F40" s="4" t="s">
        <v>25</v>
      </c>
      <c r="G40" s="4" t="s">
        <v>26</v>
      </c>
      <c r="H40" s="4" t="s">
        <v>31</v>
      </c>
      <c r="I40" s="6">
        <v>785557.00506300002</v>
      </c>
      <c r="J40" s="7">
        <v>0.01</v>
      </c>
      <c r="K40" s="7">
        <v>9.9999997764825821E-3</v>
      </c>
      <c r="L40" s="4" t="s">
        <v>28</v>
      </c>
      <c r="M40" s="4" t="s">
        <v>28</v>
      </c>
      <c r="N40" s="4" t="s">
        <v>28</v>
      </c>
      <c r="O40" s="4" t="s">
        <v>28</v>
      </c>
      <c r="P40" s="4" t="s">
        <v>28</v>
      </c>
      <c r="Q40" s="4" t="s">
        <v>28</v>
      </c>
      <c r="R40" s="8">
        <v>46254.035705312497</v>
      </c>
      <c r="S40" s="4" t="s">
        <v>29</v>
      </c>
      <c r="T40" s="4" t="s">
        <v>30</v>
      </c>
    </row>
    <row r="41" spans="1:20" x14ac:dyDescent="0.3">
      <c r="A41" s="4" t="s">
        <v>21</v>
      </c>
      <c r="B41" s="4" t="s">
        <v>36</v>
      </c>
      <c r="C41" s="4" t="s">
        <v>32</v>
      </c>
      <c r="D41" s="5">
        <v>0.1</v>
      </c>
      <c r="E41" s="4" t="s">
        <v>24</v>
      </c>
      <c r="F41" s="4" t="s">
        <v>25</v>
      </c>
      <c r="G41" s="4" t="s">
        <v>26</v>
      </c>
      <c r="H41" s="4" t="s">
        <v>27</v>
      </c>
      <c r="I41" s="6">
        <v>542.278774</v>
      </c>
      <c r="J41" s="7">
        <v>0.01</v>
      </c>
      <c r="K41" s="7">
        <v>9.9999997764825821E-3</v>
      </c>
      <c r="L41" s="4" t="s">
        <v>28</v>
      </c>
      <c r="M41" s="4" t="s">
        <v>28</v>
      </c>
      <c r="N41" s="4" t="s">
        <v>28</v>
      </c>
      <c r="O41" s="4" t="s">
        <v>28</v>
      </c>
      <c r="P41" s="4" t="s">
        <v>28</v>
      </c>
      <c r="Q41" s="4" t="s">
        <v>28</v>
      </c>
      <c r="R41" s="8">
        <v>46254.035705312497</v>
      </c>
      <c r="S41" s="4" t="s">
        <v>29</v>
      </c>
      <c r="T41" s="4" t="s">
        <v>30</v>
      </c>
    </row>
    <row r="42" spans="1:20" x14ac:dyDescent="0.3">
      <c r="A42" s="4" t="s">
        <v>21</v>
      </c>
      <c r="B42" s="4" t="s">
        <v>36</v>
      </c>
      <c r="C42" s="4" t="s">
        <v>32</v>
      </c>
      <c r="D42" s="5">
        <v>0.1</v>
      </c>
      <c r="E42" s="4" t="s">
        <v>24</v>
      </c>
      <c r="F42" s="4" t="s">
        <v>25</v>
      </c>
      <c r="G42" s="4" t="s">
        <v>26</v>
      </c>
      <c r="H42" s="4" t="s">
        <v>31</v>
      </c>
      <c r="I42" s="6">
        <v>785503.58819799998</v>
      </c>
      <c r="J42" s="7">
        <v>0.01</v>
      </c>
      <c r="K42" s="7">
        <v>9.9999997764825821E-3</v>
      </c>
      <c r="L42" s="4" t="s">
        <v>28</v>
      </c>
      <c r="M42" s="4" t="s">
        <v>28</v>
      </c>
      <c r="N42" s="4" t="s">
        <v>28</v>
      </c>
      <c r="O42" s="4" t="s">
        <v>28</v>
      </c>
      <c r="P42" s="4" t="s">
        <v>28</v>
      </c>
      <c r="Q42" s="4" t="s">
        <v>28</v>
      </c>
      <c r="R42" s="8">
        <v>46254.035705312497</v>
      </c>
      <c r="S42" s="4" t="s">
        <v>29</v>
      </c>
      <c r="T42" s="4" t="s">
        <v>30</v>
      </c>
    </row>
    <row r="43" spans="1:20" x14ac:dyDescent="0.3">
      <c r="A43" s="4" t="s">
        <v>21</v>
      </c>
      <c r="B43" s="4" t="s">
        <v>37</v>
      </c>
      <c r="C43" s="4" t="s">
        <v>23</v>
      </c>
      <c r="D43" s="5">
        <v>0.05</v>
      </c>
      <c r="E43" s="4" t="s">
        <v>24</v>
      </c>
      <c r="F43" s="4" t="s">
        <v>25</v>
      </c>
      <c r="G43" s="4" t="s">
        <v>26</v>
      </c>
      <c r="H43" s="4" t="s">
        <v>27</v>
      </c>
      <c r="I43" s="6">
        <v>482.961747</v>
      </c>
      <c r="J43" s="7">
        <v>0.01</v>
      </c>
      <c r="K43" s="7">
        <v>9.9999997764825821E-3</v>
      </c>
      <c r="L43" s="4" t="s">
        <v>28</v>
      </c>
      <c r="M43" s="4" t="s">
        <v>28</v>
      </c>
      <c r="N43" s="4" t="s">
        <v>28</v>
      </c>
      <c r="O43" s="4" t="s">
        <v>28</v>
      </c>
      <c r="P43" s="4" t="s">
        <v>28</v>
      </c>
      <c r="Q43" s="4" t="s">
        <v>28</v>
      </c>
      <c r="R43" s="8">
        <v>46254.035705312497</v>
      </c>
      <c r="S43" s="4" t="s">
        <v>29</v>
      </c>
      <c r="T43" s="4" t="s">
        <v>30</v>
      </c>
    </row>
    <row r="44" spans="1:20" x14ac:dyDescent="0.3">
      <c r="A44" s="4" t="s">
        <v>21</v>
      </c>
      <c r="B44" s="4" t="s">
        <v>37</v>
      </c>
      <c r="C44" s="4" t="s">
        <v>23</v>
      </c>
      <c r="D44" s="5">
        <v>0.05</v>
      </c>
      <c r="E44" s="4" t="s">
        <v>24</v>
      </c>
      <c r="F44" s="4" t="s">
        <v>25</v>
      </c>
      <c r="G44" s="4" t="s">
        <v>26</v>
      </c>
      <c r="H44" s="4" t="s">
        <v>31</v>
      </c>
      <c r="I44" s="6">
        <v>679248.49039299996</v>
      </c>
      <c r="J44" s="7">
        <v>0.01</v>
      </c>
      <c r="K44" s="7">
        <v>9.9999997764825821E-3</v>
      </c>
      <c r="L44" s="4" t="s">
        <v>28</v>
      </c>
      <c r="M44" s="4" t="s">
        <v>28</v>
      </c>
      <c r="N44" s="4" t="s">
        <v>28</v>
      </c>
      <c r="O44" s="4" t="s">
        <v>28</v>
      </c>
      <c r="P44" s="4" t="s">
        <v>28</v>
      </c>
      <c r="Q44" s="4" t="s">
        <v>28</v>
      </c>
      <c r="R44" s="8">
        <v>46254.035705312497</v>
      </c>
      <c r="S44" s="4" t="s">
        <v>29</v>
      </c>
      <c r="T44" s="4" t="s">
        <v>30</v>
      </c>
    </row>
    <row r="45" spans="1:20" x14ac:dyDescent="0.3">
      <c r="A45" s="4" t="s">
        <v>21</v>
      </c>
      <c r="B45" s="4" t="s">
        <v>37</v>
      </c>
      <c r="C45" s="4" t="s">
        <v>23</v>
      </c>
      <c r="D45" s="5">
        <v>0.1</v>
      </c>
      <c r="E45" s="4" t="s">
        <v>24</v>
      </c>
      <c r="F45" s="4" t="s">
        <v>25</v>
      </c>
      <c r="G45" s="4" t="s">
        <v>26</v>
      </c>
      <c r="H45" s="4" t="s">
        <v>27</v>
      </c>
      <c r="I45" s="6">
        <v>438.843727</v>
      </c>
      <c r="J45" s="7">
        <v>0.01</v>
      </c>
      <c r="K45" s="7">
        <v>9.9999997764825821E-3</v>
      </c>
      <c r="L45" s="4" t="s">
        <v>28</v>
      </c>
      <c r="M45" s="4" t="s">
        <v>28</v>
      </c>
      <c r="N45" s="4" t="s">
        <v>28</v>
      </c>
      <c r="O45" s="4" t="s">
        <v>28</v>
      </c>
      <c r="P45" s="4" t="s">
        <v>28</v>
      </c>
      <c r="Q45" s="4" t="s">
        <v>28</v>
      </c>
      <c r="R45" s="8">
        <v>46254.035705312497</v>
      </c>
      <c r="S45" s="4" t="s">
        <v>29</v>
      </c>
      <c r="T45" s="4" t="s">
        <v>30</v>
      </c>
    </row>
    <row r="46" spans="1:20" x14ac:dyDescent="0.3">
      <c r="A46" s="4" t="s">
        <v>21</v>
      </c>
      <c r="B46" s="4" t="s">
        <v>37</v>
      </c>
      <c r="C46" s="4" t="s">
        <v>23</v>
      </c>
      <c r="D46" s="5">
        <v>0.1</v>
      </c>
      <c r="E46" s="4" t="s">
        <v>24</v>
      </c>
      <c r="F46" s="4" t="s">
        <v>25</v>
      </c>
      <c r="G46" s="4" t="s">
        <v>26</v>
      </c>
      <c r="H46" s="4" t="s">
        <v>31</v>
      </c>
      <c r="I46" s="6">
        <v>679204.37237400003</v>
      </c>
      <c r="J46" s="7">
        <v>0.01</v>
      </c>
      <c r="K46" s="7">
        <v>9.9999997764825821E-3</v>
      </c>
      <c r="L46" s="4" t="s">
        <v>28</v>
      </c>
      <c r="M46" s="4" t="s">
        <v>28</v>
      </c>
      <c r="N46" s="4" t="s">
        <v>28</v>
      </c>
      <c r="O46" s="4" t="s">
        <v>28</v>
      </c>
      <c r="P46" s="4" t="s">
        <v>28</v>
      </c>
      <c r="Q46" s="4" t="s">
        <v>28</v>
      </c>
      <c r="R46" s="8">
        <v>46254.035705312497</v>
      </c>
      <c r="S46" s="4" t="s">
        <v>29</v>
      </c>
      <c r="T46" s="4" t="s">
        <v>30</v>
      </c>
    </row>
    <row r="47" spans="1:20" x14ac:dyDescent="0.3">
      <c r="A47" s="4" t="s">
        <v>21</v>
      </c>
      <c r="B47" s="4" t="s">
        <v>37</v>
      </c>
      <c r="C47" s="4" t="s">
        <v>32</v>
      </c>
      <c r="D47" s="5">
        <v>0.05</v>
      </c>
      <c r="E47" s="4" t="s">
        <v>24</v>
      </c>
      <c r="F47" s="4" t="s">
        <v>25</v>
      </c>
      <c r="G47" s="4" t="s">
        <v>26</v>
      </c>
      <c r="H47" s="4" t="s">
        <v>27</v>
      </c>
      <c r="I47" s="6">
        <v>412.082402</v>
      </c>
      <c r="J47" s="7">
        <v>0.01</v>
      </c>
      <c r="K47" s="7">
        <v>9.9999997764825821E-3</v>
      </c>
      <c r="L47" s="4" t="s">
        <v>28</v>
      </c>
      <c r="M47" s="4" t="s">
        <v>28</v>
      </c>
      <c r="N47" s="4" t="s">
        <v>28</v>
      </c>
      <c r="O47" s="4" t="s">
        <v>28</v>
      </c>
      <c r="P47" s="4" t="s">
        <v>28</v>
      </c>
      <c r="Q47" s="4" t="s">
        <v>28</v>
      </c>
      <c r="R47" s="8">
        <v>46254.035705312497</v>
      </c>
      <c r="S47" s="4" t="s">
        <v>29</v>
      </c>
      <c r="T47" s="4" t="s">
        <v>30</v>
      </c>
    </row>
    <row r="48" spans="1:20" x14ac:dyDescent="0.3">
      <c r="A48" s="4" t="s">
        <v>21</v>
      </c>
      <c r="B48" s="4" t="s">
        <v>37</v>
      </c>
      <c r="C48" s="4" t="s">
        <v>32</v>
      </c>
      <c r="D48" s="5">
        <v>0.05</v>
      </c>
      <c r="E48" s="4" t="s">
        <v>24</v>
      </c>
      <c r="F48" s="4" t="s">
        <v>25</v>
      </c>
      <c r="G48" s="4" t="s">
        <v>26</v>
      </c>
      <c r="H48" s="4" t="s">
        <v>31</v>
      </c>
      <c r="I48" s="6">
        <v>785373.39182599995</v>
      </c>
      <c r="J48" s="7">
        <v>0.01</v>
      </c>
      <c r="K48" s="7">
        <v>9.9999997764825821E-3</v>
      </c>
      <c r="L48" s="4" t="s">
        <v>28</v>
      </c>
      <c r="M48" s="4" t="s">
        <v>28</v>
      </c>
      <c r="N48" s="4" t="s">
        <v>28</v>
      </c>
      <c r="O48" s="4" t="s">
        <v>28</v>
      </c>
      <c r="P48" s="4" t="s">
        <v>28</v>
      </c>
      <c r="Q48" s="4" t="s">
        <v>28</v>
      </c>
      <c r="R48" s="8">
        <v>46254.035705312497</v>
      </c>
      <c r="S48" s="4" t="s">
        <v>29</v>
      </c>
      <c r="T48" s="4" t="s">
        <v>30</v>
      </c>
    </row>
    <row r="49" spans="1:20" x14ac:dyDescent="0.3">
      <c r="A49" s="4" t="s">
        <v>21</v>
      </c>
      <c r="B49" s="4" t="s">
        <v>37</v>
      </c>
      <c r="C49" s="4" t="s">
        <v>32</v>
      </c>
      <c r="D49" s="5">
        <v>0.1</v>
      </c>
      <c r="E49" s="4" t="s">
        <v>24</v>
      </c>
      <c r="F49" s="4" t="s">
        <v>25</v>
      </c>
      <c r="G49" s="4" t="s">
        <v>26</v>
      </c>
      <c r="H49" s="4" t="s">
        <v>27</v>
      </c>
      <c r="I49" s="6">
        <v>375.460868</v>
      </c>
      <c r="J49" s="7">
        <v>0.01</v>
      </c>
      <c r="K49" s="7">
        <v>9.9999997764825821E-3</v>
      </c>
      <c r="L49" s="4" t="s">
        <v>28</v>
      </c>
      <c r="M49" s="4" t="s">
        <v>28</v>
      </c>
      <c r="N49" s="4" t="s">
        <v>28</v>
      </c>
      <c r="O49" s="4" t="s">
        <v>28</v>
      </c>
      <c r="P49" s="4" t="s">
        <v>28</v>
      </c>
      <c r="Q49" s="4" t="s">
        <v>28</v>
      </c>
      <c r="R49" s="8">
        <v>46254.035705312497</v>
      </c>
      <c r="S49" s="4" t="s">
        <v>29</v>
      </c>
      <c r="T49" s="4" t="s">
        <v>30</v>
      </c>
    </row>
    <row r="50" spans="1:20" x14ac:dyDescent="0.3">
      <c r="A50" s="4" t="s">
        <v>21</v>
      </c>
      <c r="B50" s="4" t="s">
        <v>37</v>
      </c>
      <c r="C50" s="4" t="s">
        <v>32</v>
      </c>
      <c r="D50" s="5">
        <v>0.1</v>
      </c>
      <c r="E50" s="4" t="s">
        <v>24</v>
      </c>
      <c r="F50" s="4" t="s">
        <v>25</v>
      </c>
      <c r="G50" s="4" t="s">
        <v>26</v>
      </c>
      <c r="H50" s="4" t="s">
        <v>31</v>
      </c>
      <c r="I50" s="6">
        <v>785336.77029200003</v>
      </c>
      <c r="J50" s="7">
        <v>0.01</v>
      </c>
      <c r="K50" s="7">
        <v>9.9999997764825821E-3</v>
      </c>
      <c r="L50" s="4" t="s">
        <v>28</v>
      </c>
      <c r="M50" s="4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8">
        <v>46254.035705312497</v>
      </c>
      <c r="S50" s="4" t="s">
        <v>29</v>
      </c>
      <c r="T50" s="4" t="s">
        <v>30</v>
      </c>
    </row>
    <row r="51" spans="1:20" x14ac:dyDescent="0.3">
      <c r="A51" s="4" t="s">
        <v>21</v>
      </c>
      <c r="B51" s="4" t="s">
        <v>38</v>
      </c>
      <c r="C51" s="4" t="s">
        <v>23</v>
      </c>
      <c r="D51" s="5">
        <v>0.05</v>
      </c>
      <c r="E51" s="4" t="s">
        <v>24</v>
      </c>
      <c r="F51" s="4" t="s">
        <v>25</v>
      </c>
      <c r="G51" s="4" t="s">
        <v>26</v>
      </c>
      <c r="H51" s="4" t="s">
        <v>27</v>
      </c>
      <c r="I51" s="6">
        <v>240.72676799999999</v>
      </c>
      <c r="J51" s="7">
        <v>0.01</v>
      </c>
      <c r="K51" s="7">
        <v>9.9999997764825821E-3</v>
      </c>
      <c r="L51" s="4" t="s">
        <v>28</v>
      </c>
      <c r="M51" s="4" t="s">
        <v>28</v>
      </c>
      <c r="N51" s="4" t="s">
        <v>28</v>
      </c>
      <c r="O51" s="4" t="s">
        <v>28</v>
      </c>
      <c r="P51" s="4" t="s">
        <v>28</v>
      </c>
      <c r="Q51" s="4" t="s">
        <v>28</v>
      </c>
      <c r="R51" s="8">
        <v>46254.035705312497</v>
      </c>
      <c r="S51" s="4" t="s">
        <v>29</v>
      </c>
      <c r="T51" s="4" t="s">
        <v>30</v>
      </c>
    </row>
    <row r="52" spans="1:20" x14ac:dyDescent="0.3">
      <c r="A52" s="4" t="s">
        <v>21</v>
      </c>
      <c r="B52" s="4" t="s">
        <v>38</v>
      </c>
      <c r="C52" s="4" t="s">
        <v>23</v>
      </c>
      <c r="D52" s="5">
        <v>0.05</v>
      </c>
      <c r="E52" s="4" t="s">
        <v>24</v>
      </c>
      <c r="F52" s="4" t="s">
        <v>25</v>
      </c>
      <c r="G52" s="4" t="s">
        <v>26</v>
      </c>
      <c r="H52" s="4" t="s">
        <v>31</v>
      </c>
      <c r="I52" s="6">
        <v>679006.25541500002</v>
      </c>
      <c r="J52" s="7">
        <v>0.01</v>
      </c>
      <c r="K52" s="7">
        <v>9.9999997764825821E-3</v>
      </c>
      <c r="L52" s="4" t="s">
        <v>28</v>
      </c>
      <c r="M52" s="4" t="s">
        <v>28</v>
      </c>
      <c r="N52" s="4" t="s">
        <v>28</v>
      </c>
      <c r="O52" s="4" t="s">
        <v>28</v>
      </c>
      <c r="P52" s="4" t="s">
        <v>28</v>
      </c>
      <c r="Q52" s="4" t="s">
        <v>28</v>
      </c>
      <c r="R52" s="8">
        <v>46254.035705312497</v>
      </c>
      <c r="S52" s="4" t="s">
        <v>29</v>
      </c>
      <c r="T52" s="4" t="s">
        <v>30</v>
      </c>
    </row>
    <row r="53" spans="1:20" x14ac:dyDescent="0.3">
      <c r="A53" s="4" t="s">
        <v>21</v>
      </c>
      <c r="B53" s="4" t="s">
        <v>38</v>
      </c>
      <c r="C53" s="4" t="s">
        <v>23</v>
      </c>
      <c r="D53" s="5">
        <v>0.1</v>
      </c>
      <c r="E53" s="4" t="s">
        <v>24</v>
      </c>
      <c r="F53" s="4" t="s">
        <v>25</v>
      </c>
      <c r="G53" s="4" t="s">
        <v>26</v>
      </c>
      <c r="H53" s="4" t="s">
        <v>27</v>
      </c>
      <c r="I53" s="6">
        <v>219.593357</v>
      </c>
      <c r="J53" s="7">
        <v>0.01</v>
      </c>
      <c r="K53" s="7">
        <v>9.9999997764825821E-3</v>
      </c>
      <c r="L53" s="4" t="s">
        <v>28</v>
      </c>
      <c r="M53" s="4" t="s">
        <v>28</v>
      </c>
      <c r="N53" s="4" t="s">
        <v>28</v>
      </c>
      <c r="O53" s="4" t="s">
        <v>28</v>
      </c>
      <c r="P53" s="4" t="s">
        <v>28</v>
      </c>
      <c r="Q53" s="4" t="s">
        <v>28</v>
      </c>
      <c r="R53" s="8">
        <v>46254.035705312497</v>
      </c>
      <c r="S53" s="4" t="s">
        <v>29</v>
      </c>
      <c r="T53" s="4" t="s">
        <v>30</v>
      </c>
    </row>
    <row r="54" spans="1:20" x14ac:dyDescent="0.3">
      <c r="A54" s="4" t="s">
        <v>21</v>
      </c>
      <c r="B54" s="4" t="s">
        <v>38</v>
      </c>
      <c r="C54" s="4" t="s">
        <v>23</v>
      </c>
      <c r="D54" s="5">
        <v>0.1</v>
      </c>
      <c r="E54" s="4" t="s">
        <v>24</v>
      </c>
      <c r="F54" s="4" t="s">
        <v>25</v>
      </c>
      <c r="G54" s="4" t="s">
        <v>26</v>
      </c>
      <c r="H54" s="4" t="s">
        <v>31</v>
      </c>
      <c r="I54" s="6">
        <v>678985.122004</v>
      </c>
      <c r="J54" s="7">
        <v>0.01</v>
      </c>
      <c r="K54" s="7">
        <v>9.9999997764825821E-3</v>
      </c>
      <c r="L54" s="4" t="s">
        <v>28</v>
      </c>
      <c r="M54" s="4" t="s">
        <v>28</v>
      </c>
      <c r="N54" s="4" t="s">
        <v>28</v>
      </c>
      <c r="O54" s="4" t="s">
        <v>28</v>
      </c>
      <c r="P54" s="4" t="s">
        <v>28</v>
      </c>
      <c r="Q54" s="4" t="s">
        <v>28</v>
      </c>
      <c r="R54" s="8">
        <v>46254.035705312497</v>
      </c>
      <c r="S54" s="4" t="s">
        <v>29</v>
      </c>
      <c r="T54" s="4" t="s">
        <v>30</v>
      </c>
    </row>
    <row r="55" spans="1:20" x14ac:dyDescent="0.3">
      <c r="A55" s="4" t="s">
        <v>21</v>
      </c>
      <c r="B55" s="4" t="s">
        <v>38</v>
      </c>
      <c r="C55" s="4" t="s">
        <v>32</v>
      </c>
      <c r="D55" s="5">
        <v>0.05</v>
      </c>
      <c r="E55" s="4" t="s">
        <v>24</v>
      </c>
      <c r="F55" s="4" t="s">
        <v>25</v>
      </c>
      <c r="G55" s="4" t="s">
        <v>26</v>
      </c>
      <c r="H55" s="4" t="s">
        <v>27</v>
      </c>
      <c r="I55" s="6">
        <v>210.77136300000001</v>
      </c>
      <c r="J55" s="7">
        <v>0.01</v>
      </c>
      <c r="K55" s="7">
        <v>9.9999997764825821E-3</v>
      </c>
      <c r="L55" s="4" t="s">
        <v>28</v>
      </c>
      <c r="M55" s="4" t="s">
        <v>28</v>
      </c>
      <c r="N55" s="4" t="s">
        <v>28</v>
      </c>
      <c r="O55" s="4" t="s">
        <v>28</v>
      </c>
      <c r="P55" s="4" t="s">
        <v>28</v>
      </c>
      <c r="Q55" s="4" t="s">
        <v>28</v>
      </c>
      <c r="R55" s="8">
        <v>46254.035705312497</v>
      </c>
      <c r="S55" s="4" t="s">
        <v>29</v>
      </c>
      <c r="T55" s="4" t="s">
        <v>30</v>
      </c>
    </row>
    <row r="56" spans="1:20" x14ac:dyDescent="0.3">
      <c r="A56" s="4" t="s">
        <v>21</v>
      </c>
      <c r="B56" s="4" t="s">
        <v>38</v>
      </c>
      <c r="C56" s="4" t="s">
        <v>32</v>
      </c>
      <c r="D56" s="5">
        <v>0.05</v>
      </c>
      <c r="E56" s="4" t="s">
        <v>24</v>
      </c>
      <c r="F56" s="4" t="s">
        <v>25</v>
      </c>
      <c r="G56" s="4" t="s">
        <v>26</v>
      </c>
      <c r="H56" s="4" t="s">
        <v>31</v>
      </c>
      <c r="I56" s="6">
        <v>785172.08078700001</v>
      </c>
      <c r="J56" s="7">
        <v>0.01</v>
      </c>
      <c r="K56" s="7">
        <v>9.9999997764825821E-3</v>
      </c>
      <c r="L56" s="4" t="s">
        <v>28</v>
      </c>
      <c r="M56" s="4" t="s">
        <v>28</v>
      </c>
      <c r="N56" s="4" t="s">
        <v>28</v>
      </c>
      <c r="O56" s="4" t="s">
        <v>28</v>
      </c>
      <c r="P56" s="4" t="s">
        <v>28</v>
      </c>
      <c r="Q56" s="4" t="s">
        <v>28</v>
      </c>
      <c r="R56" s="8">
        <v>46254.035705312497</v>
      </c>
      <c r="S56" s="4" t="s">
        <v>29</v>
      </c>
      <c r="T56" s="4" t="s">
        <v>30</v>
      </c>
    </row>
    <row r="57" spans="1:20" x14ac:dyDescent="0.3">
      <c r="A57" s="4" t="s">
        <v>21</v>
      </c>
      <c r="B57" s="4" t="s">
        <v>38</v>
      </c>
      <c r="C57" s="4" t="s">
        <v>32</v>
      </c>
      <c r="D57" s="5">
        <v>0.1</v>
      </c>
      <c r="E57" s="4" t="s">
        <v>24</v>
      </c>
      <c r="F57" s="4" t="s">
        <v>25</v>
      </c>
      <c r="G57" s="4" t="s">
        <v>26</v>
      </c>
      <c r="H57" s="4" t="s">
        <v>27</v>
      </c>
      <c r="I57" s="6">
        <v>192.698342</v>
      </c>
      <c r="J57" s="7">
        <v>0.01</v>
      </c>
      <c r="K57" s="7">
        <v>9.9999997764825821E-3</v>
      </c>
      <c r="L57" s="4" t="s">
        <v>28</v>
      </c>
      <c r="M57" s="4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8">
        <v>46254.035705312497</v>
      </c>
      <c r="S57" s="4" t="s">
        <v>29</v>
      </c>
      <c r="T57" s="4" t="s">
        <v>30</v>
      </c>
    </row>
    <row r="58" spans="1:20" x14ac:dyDescent="0.3">
      <c r="A58" s="4" t="s">
        <v>21</v>
      </c>
      <c r="B58" s="4" t="s">
        <v>38</v>
      </c>
      <c r="C58" s="4" t="s">
        <v>32</v>
      </c>
      <c r="D58" s="5">
        <v>0.1</v>
      </c>
      <c r="E58" s="4" t="s">
        <v>24</v>
      </c>
      <c r="F58" s="4" t="s">
        <v>25</v>
      </c>
      <c r="G58" s="4" t="s">
        <v>26</v>
      </c>
      <c r="H58" s="4" t="s">
        <v>31</v>
      </c>
      <c r="I58" s="6">
        <v>785154.00776499999</v>
      </c>
      <c r="J58" s="7">
        <v>0.01</v>
      </c>
      <c r="K58" s="7">
        <v>9.9999997764825821E-3</v>
      </c>
      <c r="L58" s="4" t="s">
        <v>28</v>
      </c>
      <c r="M58" s="4" t="s">
        <v>28</v>
      </c>
      <c r="N58" s="4" t="s">
        <v>28</v>
      </c>
      <c r="O58" s="4" t="s">
        <v>28</v>
      </c>
      <c r="P58" s="4" t="s">
        <v>28</v>
      </c>
      <c r="Q58" s="4" t="s">
        <v>28</v>
      </c>
      <c r="R58" s="8">
        <v>46254.035705312497</v>
      </c>
      <c r="S58" s="4" t="s">
        <v>29</v>
      </c>
      <c r="T58" s="4" t="s">
        <v>30</v>
      </c>
    </row>
    <row r="59" spans="1:20" x14ac:dyDescent="0.3">
      <c r="A59" s="4" t="s">
        <v>21</v>
      </c>
      <c r="B59" s="4" t="s">
        <v>39</v>
      </c>
      <c r="C59" s="4" t="s">
        <v>23</v>
      </c>
      <c r="D59" s="5">
        <v>0.05</v>
      </c>
      <c r="E59" s="4" t="s">
        <v>24</v>
      </c>
      <c r="F59" s="4" t="s">
        <v>25</v>
      </c>
      <c r="G59" s="4" t="s">
        <v>26</v>
      </c>
      <c r="H59" s="4" t="s">
        <v>27</v>
      </c>
      <c r="I59" s="6">
        <v>79.6798</v>
      </c>
      <c r="J59" s="7">
        <v>0.01</v>
      </c>
      <c r="K59" s="7">
        <v>9.9999997764825821E-3</v>
      </c>
      <c r="L59" s="4" t="s">
        <v>28</v>
      </c>
      <c r="M59" s="4" t="s">
        <v>28</v>
      </c>
      <c r="N59" s="4" t="s">
        <v>28</v>
      </c>
      <c r="O59" s="4" t="s">
        <v>28</v>
      </c>
      <c r="P59" s="4" t="s">
        <v>28</v>
      </c>
      <c r="Q59" s="4" t="s">
        <v>28</v>
      </c>
      <c r="R59" s="8">
        <v>46254.035705312497</v>
      </c>
      <c r="S59" s="4" t="s">
        <v>29</v>
      </c>
      <c r="T59" s="4" t="s">
        <v>30</v>
      </c>
    </row>
    <row r="60" spans="1:20" x14ac:dyDescent="0.3">
      <c r="A60" s="4" t="s">
        <v>21</v>
      </c>
      <c r="B60" s="4" t="s">
        <v>39</v>
      </c>
      <c r="C60" s="4" t="s">
        <v>23</v>
      </c>
      <c r="D60" s="5">
        <v>0.05</v>
      </c>
      <c r="E60" s="4" t="s">
        <v>24</v>
      </c>
      <c r="F60" s="4" t="s">
        <v>25</v>
      </c>
      <c r="G60" s="4" t="s">
        <v>26</v>
      </c>
      <c r="H60" s="4" t="s">
        <v>31</v>
      </c>
      <c r="I60" s="6">
        <v>678845.208446</v>
      </c>
      <c r="J60" s="7">
        <v>0.01</v>
      </c>
      <c r="K60" s="7">
        <v>9.9999997764825821E-3</v>
      </c>
      <c r="L60" s="4" t="s">
        <v>28</v>
      </c>
      <c r="M60" s="4" t="s">
        <v>28</v>
      </c>
      <c r="N60" s="4" t="s">
        <v>28</v>
      </c>
      <c r="O60" s="4" t="s">
        <v>28</v>
      </c>
      <c r="P60" s="4" t="s">
        <v>28</v>
      </c>
      <c r="Q60" s="4" t="s">
        <v>28</v>
      </c>
      <c r="R60" s="8">
        <v>46254.035705312497</v>
      </c>
      <c r="S60" s="4" t="s">
        <v>29</v>
      </c>
      <c r="T60" s="4" t="s">
        <v>30</v>
      </c>
    </row>
    <row r="61" spans="1:20" x14ac:dyDescent="0.3">
      <c r="A61" s="4" t="s">
        <v>21</v>
      </c>
      <c r="B61" s="4" t="s">
        <v>39</v>
      </c>
      <c r="C61" s="4" t="s">
        <v>23</v>
      </c>
      <c r="D61" s="5">
        <v>0.1</v>
      </c>
      <c r="E61" s="4" t="s">
        <v>24</v>
      </c>
      <c r="F61" s="4" t="s">
        <v>25</v>
      </c>
      <c r="G61" s="4" t="s">
        <v>26</v>
      </c>
      <c r="H61" s="4" t="s">
        <v>27</v>
      </c>
      <c r="I61" s="6">
        <v>73.490754999999993</v>
      </c>
      <c r="J61" s="7">
        <v>0.01</v>
      </c>
      <c r="K61" s="7">
        <v>9.9999997764825821E-3</v>
      </c>
      <c r="L61" s="4" t="s">
        <v>28</v>
      </c>
      <c r="M61" s="4" t="s">
        <v>28</v>
      </c>
      <c r="N61" s="4" t="s">
        <v>28</v>
      </c>
      <c r="O61" s="4" t="s">
        <v>28</v>
      </c>
      <c r="P61" s="4" t="s">
        <v>28</v>
      </c>
      <c r="Q61" s="4" t="s">
        <v>28</v>
      </c>
      <c r="R61" s="8">
        <v>46254.035705312497</v>
      </c>
      <c r="S61" s="4" t="s">
        <v>29</v>
      </c>
      <c r="T61" s="4" t="s">
        <v>30</v>
      </c>
    </row>
    <row r="62" spans="1:20" x14ac:dyDescent="0.3">
      <c r="A62" s="4" t="s">
        <v>21</v>
      </c>
      <c r="B62" s="4" t="s">
        <v>39</v>
      </c>
      <c r="C62" s="4" t="s">
        <v>23</v>
      </c>
      <c r="D62" s="5">
        <v>0.1</v>
      </c>
      <c r="E62" s="4" t="s">
        <v>24</v>
      </c>
      <c r="F62" s="4" t="s">
        <v>25</v>
      </c>
      <c r="G62" s="4" t="s">
        <v>26</v>
      </c>
      <c r="H62" s="4" t="s">
        <v>31</v>
      </c>
      <c r="I62" s="6">
        <v>678839.01940200001</v>
      </c>
      <c r="J62" s="7">
        <v>0.01</v>
      </c>
      <c r="K62" s="7">
        <v>9.9999997764825821E-3</v>
      </c>
      <c r="L62" s="4" t="s">
        <v>28</v>
      </c>
      <c r="M62" s="4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8">
        <v>46254.035705312497</v>
      </c>
      <c r="S62" s="4" t="s">
        <v>29</v>
      </c>
      <c r="T62" s="4" t="s">
        <v>30</v>
      </c>
    </row>
    <row r="63" spans="1:20" x14ac:dyDescent="0.3">
      <c r="A63" s="4" t="s">
        <v>21</v>
      </c>
      <c r="B63" s="4" t="s">
        <v>39</v>
      </c>
      <c r="C63" s="4" t="s">
        <v>32</v>
      </c>
      <c r="D63" s="5">
        <v>0.05</v>
      </c>
      <c r="E63" s="4" t="s">
        <v>24</v>
      </c>
      <c r="F63" s="4" t="s">
        <v>25</v>
      </c>
      <c r="G63" s="4" t="s">
        <v>26</v>
      </c>
      <c r="H63" s="4" t="s">
        <v>27</v>
      </c>
      <c r="I63" s="6">
        <v>71.733352999999994</v>
      </c>
      <c r="J63" s="7">
        <v>0.01</v>
      </c>
      <c r="K63" s="7">
        <v>9.9999997764825821E-3</v>
      </c>
      <c r="L63" s="4" t="s">
        <v>28</v>
      </c>
      <c r="M63" s="4" t="s">
        <v>28</v>
      </c>
      <c r="N63" s="4" t="s">
        <v>28</v>
      </c>
      <c r="O63" s="4" t="s">
        <v>28</v>
      </c>
      <c r="P63" s="4" t="s">
        <v>28</v>
      </c>
      <c r="Q63" s="4" t="s">
        <v>28</v>
      </c>
      <c r="R63" s="8">
        <v>46254.035705312497</v>
      </c>
      <c r="S63" s="4" t="s">
        <v>29</v>
      </c>
      <c r="T63" s="4" t="s">
        <v>30</v>
      </c>
    </row>
    <row r="64" spans="1:20" x14ac:dyDescent="0.3">
      <c r="A64" s="4" t="s">
        <v>21</v>
      </c>
      <c r="B64" s="4" t="s">
        <v>39</v>
      </c>
      <c r="C64" s="4" t="s">
        <v>32</v>
      </c>
      <c r="D64" s="5">
        <v>0.05</v>
      </c>
      <c r="E64" s="4" t="s">
        <v>24</v>
      </c>
      <c r="F64" s="4" t="s">
        <v>25</v>
      </c>
      <c r="G64" s="4" t="s">
        <v>26</v>
      </c>
      <c r="H64" s="4" t="s">
        <v>31</v>
      </c>
      <c r="I64" s="6">
        <v>785033.042777</v>
      </c>
      <c r="J64" s="7">
        <v>0.01</v>
      </c>
      <c r="K64" s="7">
        <v>9.9999997764825821E-3</v>
      </c>
      <c r="L64" s="4" t="s">
        <v>28</v>
      </c>
      <c r="M64" s="4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8">
        <v>46254.035705312497</v>
      </c>
      <c r="S64" s="4" t="s">
        <v>29</v>
      </c>
      <c r="T64" s="4" t="s">
        <v>30</v>
      </c>
    </row>
    <row r="65" spans="1:20" x14ac:dyDescent="0.3">
      <c r="A65" s="4" t="s">
        <v>21</v>
      </c>
      <c r="B65" s="4" t="s">
        <v>39</v>
      </c>
      <c r="C65" s="4" t="s">
        <v>32</v>
      </c>
      <c r="D65" s="5">
        <v>0.1</v>
      </c>
      <c r="E65" s="4" t="s">
        <v>24</v>
      </c>
      <c r="F65" s="4" t="s">
        <v>25</v>
      </c>
      <c r="G65" s="4" t="s">
        <v>26</v>
      </c>
      <c r="H65" s="4" t="s">
        <v>27</v>
      </c>
      <c r="I65" s="6">
        <v>66.240671000000006</v>
      </c>
      <c r="J65" s="7">
        <v>0.01</v>
      </c>
      <c r="K65" s="7">
        <v>9.9999997764825821E-3</v>
      </c>
      <c r="L65" s="4" t="s">
        <v>28</v>
      </c>
      <c r="M65" s="4" t="s">
        <v>28</v>
      </c>
      <c r="N65" s="4" t="s">
        <v>28</v>
      </c>
      <c r="O65" s="4" t="s">
        <v>28</v>
      </c>
      <c r="P65" s="4" t="s">
        <v>28</v>
      </c>
      <c r="Q65" s="4" t="s">
        <v>28</v>
      </c>
      <c r="R65" s="8">
        <v>46254.035705312497</v>
      </c>
      <c r="S65" s="4" t="s">
        <v>29</v>
      </c>
      <c r="T65" s="4" t="s">
        <v>30</v>
      </c>
    </row>
    <row r="66" spans="1:20" x14ac:dyDescent="0.3">
      <c r="A66" s="4" t="s">
        <v>21</v>
      </c>
      <c r="B66" s="4" t="s">
        <v>39</v>
      </c>
      <c r="C66" s="4" t="s">
        <v>32</v>
      </c>
      <c r="D66" s="5">
        <v>0.1</v>
      </c>
      <c r="E66" s="4" t="s">
        <v>24</v>
      </c>
      <c r="F66" s="4" t="s">
        <v>25</v>
      </c>
      <c r="G66" s="4" t="s">
        <v>26</v>
      </c>
      <c r="H66" s="4" t="s">
        <v>31</v>
      </c>
      <c r="I66" s="6">
        <v>785027.55009399995</v>
      </c>
      <c r="J66" s="7">
        <v>0.01</v>
      </c>
      <c r="K66" s="7">
        <v>9.9999997764825821E-3</v>
      </c>
      <c r="L66" s="4" t="s">
        <v>28</v>
      </c>
      <c r="M66" s="4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8">
        <v>46254.035705312497</v>
      </c>
      <c r="S66" s="4" t="s">
        <v>29</v>
      </c>
      <c r="T66" s="4" t="s">
        <v>30</v>
      </c>
    </row>
    <row r="67" spans="1:20" x14ac:dyDescent="0.3">
      <c r="A67" s="4" t="s">
        <v>21</v>
      </c>
      <c r="B67" s="4" t="s">
        <v>40</v>
      </c>
      <c r="C67" s="4" t="s">
        <v>23</v>
      </c>
      <c r="D67" s="5">
        <v>0.05</v>
      </c>
      <c r="E67" s="4" t="s">
        <v>24</v>
      </c>
      <c r="F67" s="4" t="s">
        <v>25</v>
      </c>
      <c r="G67" s="4" t="s">
        <v>26</v>
      </c>
      <c r="H67" s="4" t="s">
        <v>27</v>
      </c>
      <c r="I67" s="6">
        <v>22.282647000000001</v>
      </c>
      <c r="J67" s="7">
        <v>0.01</v>
      </c>
      <c r="K67" s="7">
        <v>9.9999997764825821E-3</v>
      </c>
      <c r="L67" s="4" t="s">
        <v>28</v>
      </c>
      <c r="M67" s="4" t="s">
        <v>28</v>
      </c>
      <c r="N67" s="4" t="s">
        <v>28</v>
      </c>
      <c r="O67" s="4" t="s">
        <v>28</v>
      </c>
      <c r="P67" s="4" t="s">
        <v>28</v>
      </c>
      <c r="Q67" s="4" t="s">
        <v>28</v>
      </c>
      <c r="R67" s="8">
        <v>46254.035705324073</v>
      </c>
      <c r="S67" s="4" t="s">
        <v>29</v>
      </c>
      <c r="T67" s="4" t="s">
        <v>30</v>
      </c>
    </row>
    <row r="68" spans="1:20" x14ac:dyDescent="0.3">
      <c r="A68" s="4" t="s">
        <v>21</v>
      </c>
      <c r="B68" s="4" t="s">
        <v>40</v>
      </c>
      <c r="C68" s="4" t="s">
        <v>23</v>
      </c>
      <c r="D68" s="5">
        <v>0.05</v>
      </c>
      <c r="E68" s="4" t="s">
        <v>24</v>
      </c>
      <c r="F68" s="4" t="s">
        <v>25</v>
      </c>
      <c r="G68" s="4" t="s">
        <v>26</v>
      </c>
      <c r="H68" s="4" t="s">
        <v>31</v>
      </c>
      <c r="I68" s="6">
        <v>678787.81129300001</v>
      </c>
      <c r="J68" s="7">
        <v>0.01</v>
      </c>
      <c r="K68" s="7">
        <v>9.9999997764825821E-3</v>
      </c>
      <c r="L68" s="4" t="s">
        <v>28</v>
      </c>
      <c r="M68" s="4" t="s">
        <v>28</v>
      </c>
      <c r="N68" s="4" t="s">
        <v>28</v>
      </c>
      <c r="O68" s="4" t="s">
        <v>28</v>
      </c>
      <c r="P68" s="4" t="s">
        <v>28</v>
      </c>
      <c r="Q68" s="4" t="s">
        <v>28</v>
      </c>
      <c r="R68" s="8">
        <v>46254.035705324073</v>
      </c>
      <c r="S68" s="4" t="s">
        <v>29</v>
      </c>
      <c r="T68" s="4" t="s">
        <v>30</v>
      </c>
    </row>
    <row r="69" spans="1:20" x14ac:dyDescent="0.3">
      <c r="A69" s="4" t="s">
        <v>21</v>
      </c>
      <c r="B69" s="4" t="s">
        <v>40</v>
      </c>
      <c r="C69" s="4" t="s">
        <v>23</v>
      </c>
      <c r="D69" s="5">
        <v>0.1</v>
      </c>
      <c r="E69" s="4" t="s">
        <v>24</v>
      </c>
      <c r="F69" s="4" t="s">
        <v>25</v>
      </c>
      <c r="G69" s="4" t="s">
        <v>26</v>
      </c>
      <c r="H69" s="4" t="s">
        <v>27</v>
      </c>
      <c r="I69" s="6">
        <v>20.225705000000001</v>
      </c>
      <c r="J69" s="7">
        <v>0.01</v>
      </c>
      <c r="K69" s="7">
        <v>9.9999997764825821E-3</v>
      </c>
      <c r="L69" s="4" t="s">
        <v>28</v>
      </c>
      <c r="M69" s="4" t="s">
        <v>28</v>
      </c>
      <c r="N69" s="4" t="s">
        <v>28</v>
      </c>
      <c r="O69" s="4" t="s">
        <v>28</v>
      </c>
      <c r="P69" s="4" t="s">
        <v>28</v>
      </c>
      <c r="Q69" s="4" t="s">
        <v>28</v>
      </c>
      <c r="R69" s="8">
        <v>46254.035705324073</v>
      </c>
      <c r="S69" s="4" t="s">
        <v>29</v>
      </c>
      <c r="T69" s="4" t="s">
        <v>30</v>
      </c>
    </row>
    <row r="70" spans="1:20" x14ac:dyDescent="0.3">
      <c r="A70" s="4" t="s">
        <v>21</v>
      </c>
      <c r="B70" s="4" t="s">
        <v>40</v>
      </c>
      <c r="C70" s="4" t="s">
        <v>23</v>
      </c>
      <c r="D70" s="5">
        <v>0.1</v>
      </c>
      <c r="E70" s="4" t="s">
        <v>24</v>
      </c>
      <c r="F70" s="4" t="s">
        <v>25</v>
      </c>
      <c r="G70" s="4" t="s">
        <v>26</v>
      </c>
      <c r="H70" s="4" t="s">
        <v>31</v>
      </c>
      <c r="I70" s="6">
        <v>678785.75435199996</v>
      </c>
      <c r="J70" s="7">
        <v>0.01</v>
      </c>
      <c r="K70" s="7">
        <v>9.9999997764825821E-3</v>
      </c>
      <c r="L70" s="4" t="s">
        <v>28</v>
      </c>
      <c r="M70" s="4" t="s">
        <v>28</v>
      </c>
      <c r="N70" s="4" t="s">
        <v>28</v>
      </c>
      <c r="O70" s="4" t="s">
        <v>28</v>
      </c>
      <c r="P70" s="4" t="s">
        <v>28</v>
      </c>
      <c r="Q70" s="4" t="s">
        <v>28</v>
      </c>
      <c r="R70" s="8">
        <v>46254.035705324073</v>
      </c>
      <c r="S70" s="4" t="s">
        <v>29</v>
      </c>
      <c r="T70" s="4" t="s">
        <v>30</v>
      </c>
    </row>
    <row r="71" spans="1:20" x14ac:dyDescent="0.3">
      <c r="A71" s="4" t="s">
        <v>21</v>
      </c>
      <c r="B71" s="4" t="s">
        <v>40</v>
      </c>
      <c r="C71" s="4" t="s">
        <v>32</v>
      </c>
      <c r="D71" s="5">
        <v>0.05</v>
      </c>
      <c r="E71" s="4" t="s">
        <v>24</v>
      </c>
      <c r="F71" s="4" t="s">
        <v>25</v>
      </c>
      <c r="G71" s="4" t="s">
        <v>26</v>
      </c>
      <c r="H71" s="4" t="s">
        <v>27</v>
      </c>
      <c r="I71" s="6">
        <v>20.745884</v>
      </c>
      <c r="J71" s="7">
        <v>0.01</v>
      </c>
      <c r="K71" s="7">
        <v>9.9999997764825821E-3</v>
      </c>
      <c r="L71" s="4" t="s">
        <v>28</v>
      </c>
      <c r="M71" s="4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8">
        <v>46254.035705324073</v>
      </c>
      <c r="S71" s="4" t="s">
        <v>29</v>
      </c>
      <c r="T71" s="4" t="s">
        <v>30</v>
      </c>
    </row>
    <row r="72" spans="1:20" x14ac:dyDescent="0.3">
      <c r="A72" s="4" t="s">
        <v>21</v>
      </c>
      <c r="B72" s="4" t="s">
        <v>40</v>
      </c>
      <c r="C72" s="4" t="s">
        <v>32</v>
      </c>
      <c r="D72" s="5">
        <v>0.05</v>
      </c>
      <c r="E72" s="4" t="s">
        <v>24</v>
      </c>
      <c r="F72" s="4" t="s">
        <v>25</v>
      </c>
      <c r="G72" s="4" t="s">
        <v>26</v>
      </c>
      <c r="H72" s="4" t="s">
        <v>31</v>
      </c>
      <c r="I72" s="6">
        <v>784982.05530699994</v>
      </c>
      <c r="J72" s="7">
        <v>0.01</v>
      </c>
      <c r="K72" s="7">
        <v>9.9999997764825821E-3</v>
      </c>
      <c r="L72" s="4" t="s">
        <v>28</v>
      </c>
      <c r="M72" s="4" t="s">
        <v>28</v>
      </c>
      <c r="N72" s="4" t="s">
        <v>28</v>
      </c>
      <c r="O72" s="4" t="s">
        <v>28</v>
      </c>
      <c r="P72" s="4" t="s">
        <v>28</v>
      </c>
      <c r="Q72" s="4" t="s">
        <v>28</v>
      </c>
      <c r="R72" s="8">
        <v>46254.035705324073</v>
      </c>
      <c r="S72" s="4" t="s">
        <v>29</v>
      </c>
      <c r="T72" s="4" t="s">
        <v>30</v>
      </c>
    </row>
    <row r="73" spans="1:20" x14ac:dyDescent="0.3">
      <c r="A73" s="4" t="s">
        <v>21</v>
      </c>
      <c r="B73" s="4" t="s">
        <v>40</v>
      </c>
      <c r="C73" s="4" t="s">
        <v>32</v>
      </c>
      <c r="D73" s="5">
        <v>0.1</v>
      </c>
      <c r="E73" s="4" t="s">
        <v>24</v>
      </c>
      <c r="F73" s="4" t="s">
        <v>25</v>
      </c>
      <c r="G73" s="4" t="s">
        <v>26</v>
      </c>
      <c r="H73" s="4" t="s">
        <v>27</v>
      </c>
      <c r="I73" s="6">
        <v>18.846747000000001</v>
      </c>
      <c r="J73" s="7">
        <v>0.01</v>
      </c>
      <c r="K73" s="7">
        <v>9.9999997764825821E-3</v>
      </c>
      <c r="L73" s="4" t="s">
        <v>28</v>
      </c>
      <c r="M73" s="4" t="s">
        <v>28</v>
      </c>
      <c r="N73" s="4" t="s">
        <v>28</v>
      </c>
      <c r="O73" s="4" t="s">
        <v>28</v>
      </c>
      <c r="P73" s="4" t="s">
        <v>28</v>
      </c>
      <c r="Q73" s="4" t="s">
        <v>28</v>
      </c>
      <c r="R73" s="8">
        <v>46254.035705324073</v>
      </c>
      <c r="S73" s="4" t="s">
        <v>29</v>
      </c>
      <c r="T73" s="4" t="s">
        <v>30</v>
      </c>
    </row>
    <row r="74" spans="1:20" x14ac:dyDescent="0.3">
      <c r="A74" s="4" t="s">
        <v>21</v>
      </c>
      <c r="B74" s="4" t="s">
        <v>40</v>
      </c>
      <c r="C74" s="4" t="s">
        <v>32</v>
      </c>
      <c r="D74" s="5">
        <v>0.1</v>
      </c>
      <c r="E74" s="4" t="s">
        <v>24</v>
      </c>
      <c r="F74" s="4" t="s">
        <v>25</v>
      </c>
      <c r="G74" s="4" t="s">
        <v>26</v>
      </c>
      <c r="H74" s="4" t="s">
        <v>31</v>
      </c>
      <c r="I74" s="6">
        <v>784980.15617099998</v>
      </c>
      <c r="J74" s="7">
        <v>0.01</v>
      </c>
      <c r="K74" s="7">
        <v>9.9999997764825821E-3</v>
      </c>
      <c r="L74" s="4" t="s">
        <v>28</v>
      </c>
      <c r="M74" s="4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8">
        <v>46254.035705324073</v>
      </c>
      <c r="S74" s="4" t="s">
        <v>29</v>
      </c>
      <c r="T74" s="4" t="s">
        <v>30</v>
      </c>
    </row>
    <row r="75" spans="1:20" x14ac:dyDescent="0.3">
      <c r="A75" s="4" t="s">
        <v>21</v>
      </c>
      <c r="B75" s="4" t="s">
        <v>41</v>
      </c>
      <c r="C75" s="4" t="s">
        <v>23</v>
      </c>
      <c r="D75" s="5">
        <v>0.05</v>
      </c>
      <c r="E75" s="4" t="s">
        <v>24</v>
      </c>
      <c r="F75" s="4" t="s">
        <v>25</v>
      </c>
      <c r="G75" s="4" t="s">
        <v>26</v>
      </c>
      <c r="H75" s="4" t="s">
        <v>27</v>
      </c>
      <c r="I75" s="6">
        <v>8.5756390000000007</v>
      </c>
      <c r="J75" s="7">
        <v>0.01</v>
      </c>
      <c r="K75" s="7">
        <v>9.9999997764825821E-3</v>
      </c>
      <c r="L75" s="4" t="s">
        <v>28</v>
      </c>
      <c r="M75" s="4" t="s">
        <v>28</v>
      </c>
      <c r="N75" s="4" t="s">
        <v>28</v>
      </c>
      <c r="O75" s="4" t="s">
        <v>28</v>
      </c>
      <c r="P75" s="4" t="s">
        <v>28</v>
      </c>
      <c r="Q75" s="4" t="s">
        <v>28</v>
      </c>
      <c r="R75" s="8">
        <v>46254.035705324073</v>
      </c>
      <c r="S75" s="4" t="s">
        <v>29</v>
      </c>
      <c r="T75" s="4" t="s">
        <v>30</v>
      </c>
    </row>
    <row r="76" spans="1:20" x14ac:dyDescent="0.3">
      <c r="A76" s="4" t="s">
        <v>21</v>
      </c>
      <c r="B76" s="4" t="s">
        <v>41</v>
      </c>
      <c r="C76" s="4" t="s">
        <v>23</v>
      </c>
      <c r="D76" s="5">
        <v>0.05</v>
      </c>
      <c r="E76" s="4" t="s">
        <v>24</v>
      </c>
      <c r="F76" s="4" t="s">
        <v>25</v>
      </c>
      <c r="G76" s="4" t="s">
        <v>26</v>
      </c>
      <c r="H76" s="4" t="s">
        <v>31</v>
      </c>
      <c r="I76" s="6">
        <v>678774.10428500001</v>
      </c>
      <c r="J76" s="7">
        <v>0.01</v>
      </c>
      <c r="K76" s="7">
        <v>9.9999997764825821E-3</v>
      </c>
      <c r="L76" s="4" t="s">
        <v>28</v>
      </c>
      <c r="M76" s="4" t="s">
        <v>28</v>
      </c>
      <c r="N76" s="4" t="s">
        <v>28</v>
      </c>
      <c r="O76" s="4" t="s">
        <v>28</v>
      </c>
      <c r="P76" s="4" t="s">
        <v>28</v>
      </c>
      <c r="Q76" s="4" t="s">
        <v>28</v>
      </c>
      <c r="R76" s="8">
        <v>46254.035705324073</v>
      </c>
      <c r="S76" s="4" t="s">
        <v>29</v>
      </c>
      <c r="T76" s="4" t="s">
        <v>30</v>
      </c>
    </row>
    <row r="77" spans="1:20" x14ac:dyDescent="0.3">
      <c r="A77" s="4" t="s">
        <v>21</v>
      </c>
      <c r="B77" s="4" t="s">
        <v>41</v>
      </c>
      <c r="C77" s="4" t="s">
        <v>23</v>
      </c>
      <c r="D77" s="5">
        <v>0.1</v>
      </c>
      <c r="E77" s="4" t="s">
        <v>24</v>
      </c>
      <c r="F77" s="4" t="s">
        <v>25</v>
      </c>
      <c r="G77" s="4" t="s">
        <v>26</v>
      </c>
      <c r="H77" s="4" t="s">
        <v>27</v>
      </c>
      <c r="I77" s="6">
        <v>7.7679609999999997</v>
      </c>
      <c r="J77" s="7">
        <v>0.01</v>
      </c>
      <c r="K77" s="7">
        <v>9.9999997764825821E-3</v>
      </c>
      <c r="L77" s="4" t="s">
        <v>28</v>
      </c>
      <c r="M77" s="4" t="s">
        <v>28</v>
      </c>
      <c r="N77" s="4" t="s">
        <v>28</v>
      </c>
      <c r="O77" s="4" t="s">
        <v>28</v>
      </c>
      <c r="P77" s="4" t="s">
        <v>28</v>
      </c>
      <c r="Q77" s="4" t="s">
        <v>28</v>
      </c>
      <c r="R77" s="8">
        <v>46254.035705324073</v>
      </c>
      <c r="S77" s="4" t="s">
        <v>29</v>
      </c>
      <c r="T77" s="4" t="s">
        <v>30</v>
      </c>
    </row>
    <row r="78" spans="1:20" x14ac:dyDescent="0.3">
      <c r="A78" s="4" t="s">
        <v>21</v>
      </c>
      <c r="B78" s="4" t="s">
        <v>41</v>
      </c>
      <c r="C78" s="4" t="s">
        <v>23</v>
      </c>
      <c r="D78" s="5">
        <v>0.1</v>
      </c>
      <c r="E78" s="4" t="s">
        <v>24</v>
      </c>
      <c r="F78" s="4" t="s">
        <v>25</v>
      </c>
      <c r="G78" s="4" t="s">
        <v>26</v>
      </c>
      <c r="H78" s="4" t="s">
        <v>31</v>
      </c>
      <c r="I78" s="6">
        <v>678773.29660700005</v>
      </c>
      <c r="J78" s="7">
        <v>0.01</v>
      </c>
      <c r="K78" s="7">
        <v>9.9999997764825821E-3</v>
      </c>
      <c r="L78" s="4" t="s">
        <v>28</v>
      </c>
      <c r="M78" s="4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8">
        <v>46254.035705324073</v>
      </c>
      <c r="S78" s="4" t="s">
        <v>29</v>
      </c>
      <c r="T78" s="4" t="s">
        <v>30</v>
      </c>
    </row>
    <row r="79" spans="1:20" x14ac:dyDescent="0.3">
      <c r="A79" s="4" t="s">
        <v>21</v>
      </c>
      <c r="B79" s="4" t="s">
        <v>41</v>
      </c>
      <c r="C79" s="4" t="s">
        <v>32</v>
      </c>
      <c r="D79" s="5">
        <v>0.05</v>
      </c>
      <c r="E79" s="4" t="s">
        <v>24</v>
      </c>
      <c r="F79" s="4" t="s">
        <v>25</v>
      </c>
      <c r="G79" s="4" t="s">
        <v>26</v>
      </c>
      <c r="H79" s="4" t="s">
        <v>27</v>
      </c>
      <c r="I79" s="6">
        <v>8.2233330000000002</v>
      </c>
      <c r="J79" s="7">
        <v>0.01</v>
      </c>
      <c r="K79" s="7">
        <v>9.9999997764825821E-3</v>
      </c>
      <c r="L79" s="4" t="s">
        <v>28</v>
      </c>
      <c r="M79" s="4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8">
        <v>46254.035705324073</v>
      </c>
      <c r="S79" s="4" t="s">
        <v>29</v>
      </c>
      <c r="T79" s="4" t="s">
        <v>30</v>
      </c>
    </row>
    <row r="80" spans="1:20" x14ac:dyDescent="0.3">
      <c r="A80" s="4" t="s">
        <v>21</v>
      </c>
      <c r="B80" s="4" t="s">
        <v>41</v>
      </c>
      <c r="C80" s="4" t="s">
        <v>32</v>
      </c>
      <c r="D80" s="5">
        <v>0.05</v>
      </c>
      <c r="E80" s="4" t="s">
        <v>24</v>
      </c>
      <c r="F80" s="4" t="s">
        <v>25</v>
      </c>
      <c r="G80" s="4" t="s">
        <v>26</v>
      </c>
      <c r="H80" s="4" t="s">
        <v>31</v>
      </c>
      <c r="I80" s="6">
        <v>784969.53275599994</v>
      </c>
      <c r="J80" s="7">
        <v>0.01</v>
      </c>
      <c r="K80" s="7">
        <v>9.9999997764825821E-3</v>
      </c>
      <c r="L80" s="4" t="s">
        <v>28</v>
      </c>
      <c r="M80" s="4" t="s">
        <v>28</v>
      </c>
      <c r="N80" s="4" t="s">
        <v>28</v>
      </c>
      <c r="O80" s="4" t="s">
        <v>28</v>
      </c>
      <c r="P80" s="4" t="s">
        <v>28</v>
      </c>
      <c r="Q80" s="4" t="s">
        <v>28</v>
      </c>
      <c r="R80" s="8">
        <v>46254.035705324073</v>
      </c>
      <c r="S80" s="4" t="s">
        <v>29</v>
      </c>
      <c r="T80" s="4" t="s">
        <v>30</v>
      </c>
    </row>
    <row r="81" spans="1:20" x14ac:dyDescent="0.3">
      <c r="A81" s="4" t="s">
        <v>21</v>
      </c>
      <c r="B81" s="4" t="s">
        <v>41</v>
      </c>
      <c r="C81" s="4" t="s">
        <v>32</v>
      </c>
      <c r="D81" s="5">
        <v>0.1</v>
      </c>
      <c r="E81" s="4" t="s">
        <v>24</v>
      </c>
      <c r="F81" s="4" t="s">
        <v>25</v>
      </c>
      <c r="G81" s="4" t="s">
        <v>26</v>
      </c>
      <c r="H81" s="4" t="s">
        <v>27</v>
      </c>
      <c r="I81" s="6">
        <v>7.4516640000000001</v>
      </c>
      <c r="J81" s="7">
        <v>0.01</v>
      </c>
      <c r="K81" s="7">
        <v>9.9999997764825821E-3</v>
      </c>
      <c r="L81" s="4" t="s">
        <v>28</v>
      </c>
      <c r="M81" s="4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8">
        <v>46254.035705324073</v>
      </c>
      <c r="S81" s="4" t="s">
        <v>29</v>
      </c>
      <c r="T81" s="4" t="s">
        <v>30</v>
      </c>
    </row>
    <row r="82" spans="1:20" x14ac:dyDescent="0.3">
      <c r="A82" s="4" t="s">
        <v>21</v>
      </c>
      <c r="B82" s="4" t="s">
        <v>41</v>
      </c>
      <c r="C82" s="4" t="s">
        <v>32</v>
      </c>
      <c r="D82" s="5">
        <v>0.1</v>
      </c>
      <c r="E82" s="4" t="s">
        <v>24</v>
      </c>
      <c r="F82" s="4" t="s">
        <v>25</v>
      </c>
      <c r="G82" s="4" t="s">
        <v>26</v>
      </c>
      <c r="H82" s="4" t="s">
        <v>31</v>
      </c>
      <c r="I82" s="6">
        <v>784968.76108700002</v>
      </c>
      <c r="J82" s="7">
        <v>0.01</v>
      </c>
      <c r="K82" s="7">
        <v>9.9999997764825821E-3</v>
      </c>
      <c r="L82" s="4" t="s">
        <v>28</v>
      </c>
      <c r="M82" s="4" t="s">
        <v>28</v>
      </c>
      <c r="N82" s="4" t="s">
        <v>28</v>
      </c>
      <c r="O82" s="4" t="s">
        <v>28</v>
      </c>
      <c r="P82" s="4" t="s">
        <v>28</v>
      </c>
      <c r="Q82" s="4" t="s">
        <v>28</v>
      </c>
      <c r="R82" s="8">
        <v>46254.035705324073</v>
      </c>
      <c r="S82" s="4" t="s">
        <v>29</v>
      </c>
      <c r="T82" s="4" t="s">
        <v>30</v>
      </c>
    </row>
    <row r="83" spans="1:20" x14ac:dyDescent="0.3">
      <c r="A83" s="4" t="s">
        <v>21</v>
      </c>
      <c r="B83" s="4" t="s">
        <v>42</v>
      </c>
      <c r="C83" s="4" t="s">
        <v>23</v>
      </c>
      <c r="D83" s="5">
        <v>0.05</v>
      </c>
      <c r="E83" s="4" t="s">
        <v>24</v>
      </c>
      <c r="F83" s="4" t="s">
        <v>25</v>
      </c>
      <c r="G83" s="4" t="s">
        <v>26</v>
      </c>
      <c r="H83" s="4" t="s">
        <v>27</v>
      </c>
      <c r="I83" s="6">
        <v>2.1748639999999999</v>
      </c>
      <c r="J83" s="7">
        <v>0.01</v>
      </c>
      <c r="K83" s="7">
        <v>9.9999997764825821E-3</v>
      </c>
      <c r="L83" s="4" t="s">
        <v>28</v>
      </c>
      <c r="M83" s="4" t="s">
        <v>28</v>
      </c>
      <c r="N83" s="4" t="s">
        <v>28</v>
      </c>
      <c r="O83" s="4" t="s">
        <v>28</v>
      </c>
      <c r="P83" s="4" t="s">
        <v>28</v>
      </c>
      <c r="Q83" s="4" t="s">
        <v>28</v>
      </c>
      <c r="R83" s="8">
        <v>46254.035705324073</v>
      </c>
      <c r="S83" s="4" t="s">
        <v>29</v>
      </c>
      <c r="T83" s="4" t="s">
        <v>30</v>
      </c>
    </row>
    <row r="84" spans="1:20" x14ac:dyDescent="0.3">
      <c r="A84" s="4" t="s">
        <v>21</v>
      </c>
      <c r="B84" s="4" t="s">
        <v>42</v>
      </c>
      <c r="C84" s="4" t="s">
        <v>23</v>
      </c>
      <c r="D84" s="5">
        <v>0.05</v>
      </c>
      <c r="E84" s="4" t="s">
        <v>24</v>
      </c>
      <c r="F84" s="4" t="s">
        <v>25</v>
      </c>
      <c r="G84" s="4" t="s">
        <v>26</v>
      </c>
      <c r="H84" s="4" t="s">
        <v>31</v>
      </c>
      <c r="I84" s="6">
        <v>678767.70351100003</v>
      </c>
      <c r="J84" s="7">
        <v>0.01</v>
      </c>
      <c r="K84" s="7">
        <v>9.9999997764825821E-3</v>
      </c>
      <c r="L84" s="4" t="s">
        <v>28</v>
      </c>
      <c r="M84" s="4" t="s">
        <v>28</v>
      </c>
      <c r="N84" s="4" t="s">
        <v>28</v>
      </c>
      <c r="O84" s="4" t="s">
        <v>28</v>
      </c>
      <c r="P84" s="4" t="s">
        <v>28</v>
      </c>
      <c r="Q84" s="4" t="s">
        <v>28</v>
      </c>
      <c r="R84" s="8">
        <v>46254.035705324073</v>
      </c>
      <c r="S84" s="4" t="s">
        <v>29</v>
      </c>
      <c r="T84" s="4" t="s">
        <v>30</v>
      </c>
    </row>
    <row r="85" spans="1:20" x14ac:dyDescent="0.3">
      <c r="A85" s="4" t="s">
        <v>21</v>
      </c>
      <c r="B85" s="4" t="s">
        <v>42</v>
      </c>
      <c r="C85" s="4" t="s">
        <v>23</v>
      </c>
      <c r="D85" s="5">
        <v>0.1</v>
      </c>
      <c r="E85" s="4" t="s">
        <v>24</v>
      </c>
      <c r="F85" s="4" t="s">
        <v>25</v>
      </c>
      <c r="G85" s="4" t="s">
        <v>26</v>
      </c>
      <c r="H85" s="4" t="s">
        <v>27</v>
      </c>
      <c r="I85" s="6">
        <v>1.976893</v>
      </c>
      <c r="J85" s="7">
        <v>0.01</v>
      </c>
      <c r="K85" s="7">
        <v>9.9999997764825821E-3</v>
      </c>
      <c r="L85" s="4" t="s">
        <v>28</v>
      </c>
      <c r="M85" s="4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8">
        <v>46254.035705324073</v>
      </c>
      <c r="S85" s="4" t="s">
        <v>29</v>
      </c>
      <c r="T85" s="4" t="s">
        <v>30</v>
      </c>
    </row>
    <row r="86" spans="1:20" x14ac:dyDescent="0.3">
      <c r="A86" s="4" t="s">
        <v>21</v>
      </c>
      <c r="B86" s="4" t="s">
        <v>42</v>
      </c>
      <c r="C86" s="4" t="s">
        <v>23</v>
      </c>
      <c r="D86" s="5">
        <v>0.1</v>
      </c>
      <c r="E86" s="4" t="s">
        <v>24</v>
      </c>
      <c r="F86" s="4" t="s">
        <v>25</v>
      </c>
      <c r="G86" s="4" t="s">
        <v>26</v>
      </c>
      <c r="H86" s="4" t="s">
        <v>31</v>
      </c>
      <c r="I86" s="6">
        <v>678767.50554000004</v>
      </c>
      <c r="J86" s="7">
        <v>0.01</v>
      </c>
      <c r="K86" s="7">
        <v>9.9999997764825821E-3</v>
      </c>
      <c r="L86" s="4" t="s">
        <v>28</v>
      </c>
      <c r="M86" s="4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8">
        <v>46254.035705324073</v>
      </c>
      <c r="S86" s="4" t="s">
        <v>29</v>
      </c>
      <c r="T86" s="4" t="s">
        <v>30</v>
      </c>
    </row>
    <row r="87" spans="1:20" x14ac:dyDescent="0.3">
      <c r="A87" s="4" t="s">
        <v>21</v>
      </c>
      <c r="B87" s="4" t="s">
        <v>42</v>
      </c>
      <c r="C87" s="4" t="s">
        <v>32</v>
      </c>
      <c r="D87" s="5">
        <v>0.05</v>
      </c>
      <c r="E87" s="4" t="s">
        <v>24</v>
      </c>
      <c r="F87" s="4" t="s">
        <v>25</v>
      </c>
      <c r="G87" s="4" t="s">
        <v>26</v>
      </c>
      <c r="H87" s="4" t="s">
        <v>27</v>
      </c>
      <c r="I87" s="6">
        <v>2.1328360000000002</v>
      </c>
      <c r="J87" s="7">
        <v>0.01</v>
      </c>
      <c r="K87" s="7">
        <v>9.9999997764825821E-3</v>
      </c>
      <c r="L87" s="4" t="s">
        <v>28</v>
      </c>
      <c r="M87" s="4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8">
        <v>46254.035705324073</v>
      </c>
      <c r="S87" s="4" t="s">
        <v>29</v>
      </c>
      <c r="T87" s="4" t="s">
        <v>30</v>
      </c>
    </row>
    <row r="88" spans="1:20" x14ac:dyDescent="0.3">
      <c r="A88" s="4" t="s">
        <v>21</v>
      </c>
      <c r="B88" s="4" t="s">
        <v>42</v>
      </c>
      <c r="C88" s="4" t="s">
        <v>32</v>
      </c>
      <c r="D88" s="5">
        <v>0.05</v>
      </c>
      <c r="E88" s="4" t="s">
        <v>24</v>
      </c>
      <c r="F88" s="4" t="s">
        <v>25</v>
      </c>
      <c r="G88" s="4" t="s">
        <v>26</v>
      </c>
      <c r="H88" s="4" t="s">
        <v>31</v>
      </c>
      <c r="I88" s="6">
        <v>784963.44225900003</v>
      </c>
      <c r="J88" s="7">
        <v>0.01</v>
      </c>
      <c r="K88" s="7">
        <v>9.9999997764825821E-3</v>
      </c>
      <c r="L88" s="4" t="s">
        <v>28</v>
      </c>
      <c r="M88" s="4" t="s">
        <v>28</v>
      </c>
      <c r="N88" s="4" t="s">
        <v>28</v>
      </c>
      <c r="O88" s="4" t="s">
        <v>28</v>
      </c>
      <c r="P88" s="4" t="s">
        <v>28</v>
      </c>
      <c r="Q88" s="4" t="s">
        <v>28</v>
      </c>
      <c r="R88" s="8">
        <v>46254.035705324073</v>
      </c>
      <c r="S88" s="4" t="s">
        <v>29</v>
      </c>
      <c r="T88" s="4" t="s">
        <v>30</v>
      </c>
    </row>
    <row r="89" spans="1:20" x14ac:dyDescent="0.3">
      <c r="A89" s="4" t="s">
        <v>21</v>
      </c>
      <c r="B89" s="4" t="s">
        <v>42</v>
      </c>
      <c r="C89" s="4" t="s">
        <v>32</v>
      </c>
      <c r="D89" s="5">
        <v>0.1</v>
      </c>
      <c r="E89" s="4" t="s">
        <v>24</v>
      </c>
      <c r="F89" s="4" t="s">
        <v>25</v>
      </c>
      <c r="G89" s="4" t="s">
        <v>26</v>
      </c>
      <c r="H89" s="4" t="s">
        <v>27</v>
      </c>
      <c r="I89" s="6">
        <v>1.9387369999999999</v>
      </c>
      <c r="J89" s="7">
        <v>0.01</v>
      </c>
      <c r="K89" s="7">
        <v>9.9999997764825821E-3</v>
      </c>
      <c r="L89" s="4" t="s">
        <v>28</v>
      </c>
      <c r="M89" s="4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8">
        <v>46254.035705324073</v>
      </c>
      <c r="S89" s="4" t="s">
        <v>29</v>
      </c>
      <c r="T89" s="4" t="s">
        <v>30</v>
      </c>
    </row>
    <row r="90" spans="1:20" x14ac:dyDescent="0.3">
      <c r="A90" s="4" t="s">
        <v>21</v>
      </c>
      <c r="B90" s="4" t="s">
        <v>42</v>
      </c>
      <c r="C90" s="4" t="s">
        <v>32</v>
      </c>
      <c r="D90" s="5">
        <v>0.1</v>
      </c>
      <c r="E90" s="4" t="s">
        <v>24</v>
      </c>
      <c r="F90" s="4" t="s">
        <v>25</v>
      </c>
      <c r="G90" s="4" t="s">
        <v>26</v>
      </c>
      <c r="H90" s="4" t="s">
        <v>31</v>
      </c>
      <c r="I90" s="6">
        <v>784963.24816099997</v>
      </c>
      <c r="J90" s="7">
        <v>0.01</v>
      </c>
      <c r="K90" s="7">
        <v>9.9999997764825821E-3</v>
      </c>
      <c r="L90" s="4" t="s">
        <v>28</v>
      </c>
      <c r="M90" s="4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8">
        <v>46254.035705324073</v>
      </c>
      <c r="S90" s="4" t="s">
        <v>29</v>
      </c>
      <c r="T90" s="4" t="s">
        <v>30</v>
      </c>
    </row>
    <row r="91" spans="1:20" x14ac:dyDescent="0.3">
      <c r="A91" s="4" t="s">
        <v>21</v>
      </c>
      <c r="B91" s="4" t="s">
        <v>43</v>
      </c>
      <c r="C91" s="4" t="s">
        <v>23</v>
      </c>
      <c r="D91" s="5">
        <v>0.05</v>
      </c>
      <c r="E91" s="4" t="s">
        <v>24</v>
      </c>
      <c r="F91" s="4" t="s">
        <v>25</v>
      </c>
      <c r="G91" s="4" t="s">
        <v>26</v>
      </c>
      <c r="H91" s="4" t="s">
        <v>27</v>
      </c>
      <c r="I91" s="6">
        <v>2259.5755250000002</v>
      </c>
      <c r="J91" s="7">
        <v>0.01</v>
      </c>
      <c r="K91" s="7">
        <v>9.9999997764825821E-3</v>
      </c>
      <c r="L91" s="4" t="s">
        <v>28</v>
      </c>
      <c r="M91" s="4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8">
        <v>46254.687780439817</v>
      </c>
      <c r="S91" s="4" t="s">
        <v>29</v>
      </c>
      <c r="T91" s="4" t="s">
        <v>30</v>
      </c>
    </row>
    <row r="92" spans="1:20" x14ac:dyDescent="0.3">
      <c r="A92" s="4" t="s">
        <v>21</v>
      </c>
      <c r="B92" s="4" t="s">
        <v>43</v>
      </c>
      <c r="C92" s="4" t="s">
        <v>23</v>
      </c>
      <c r="D92" s="5">
        <v>0.05</v>
      </c>
      <c r="E92" s="4" t="s">
        <v>24</v>
      </c>
      <c r="F92" s="4" t="s">
        <v>25</v>
      </c>
      <c r="G92" s="4" t="s">
        <v>26</v>
      </c>
      <c r="H92" s="4" t="s">
        <v>31</v>
      </c>
      <c r="I92" s="6">
        <v>681025.10417199996</v>
      </c>
      <c r="J92" s="7">
        <v>0.01</v>
      </c>
      <c r="K92" s="7">
        <v>9.9999997764825821E-3</v>
      </c>
      <c r="L92" s="4" t="s">
        <v>28</v>
      </c>
      <c r="M92" s="4" t="s">
        <v>28</v>
      </c>
      <c r="N92" s="4" t="s">
        <v>28</v>
      </c>
      <c r="O92" s="4" t="s">
        <v>28</v>
      </c>
      <c r="P92" s="4" t="s">
        <v>28</v>
      </c>
      <c r="Q92" s="4" t="s">
        <v>28</v>
      </c>
      <c r="R92" s="8">
        <v>46254.687780439817</v>
      </c>
      <c r="S92" s="4" t="s">
        <v>29</v>
      </c>
      <c r="T92" s="4" t="s">
        <v>30</v>
      </c>
    </row>
    <row r="93" spans="1:20" x14ac:dyDescent="0.3">
      <c r="A93" s="4" t="s">
        <v>21</v>
      </c>
      <c r="B93" s="4" t="s">
        <v>43</v>
      </c>
      <c r="C93" s="4" t="s">
        <v>23</v>
      </c>
      <c r="D93" s="5">
        <v>0.1</v>
      </c>
      <c r="E93" s="4" t="s">
        <v>24</v>
      </c>
      <c r="F93" s="4" t="s">
        <v>25</v>
      </c>
      <c r="G93" s="4" t="s">
        <v>26</v>
      </c>
      <c r="H93" s="4" t="s">
        <v>27</v>
      </c>
      <c r="I93" s="6">
        <v>1697.0352310000001</v>
      </c>
      <c r="J93" s="7">
        <v>0.01</v>
      </c>
      <c r="K93" s="7">
        <v>9.9999997764825821E-3</v>
      </c>
      <c r="L93" s="4" t="s">
        <v>28</v>
      </c>
      <c r="M93" s="4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8">
        <v>46254.687780439817</v>
      </c>
      <c r="S93" s="4" t="s">
        <v>29</v>
      </c>
      <c r="T93" s="4" t="s">
        <v>30</v>
      </c>
    </row>
    <row r="94" spans="1:20" x14ac:dyDescent="0.3">
      <c r="A94" s="4" t="s">
        <v>21</v>
      </c>
      <c r="B94" s="4" t="s">
        <v>43</v>
      </c>
      <c r="C94" s="4" t="s">
        <v>23</v>
      </c>
      <c r="D94" s="5">
        <v>0.1</v>
      </c>
      <c r="E94" s="4" t="s">
        <v>24</v>
      </c>
      <c r="F94" s="4" t="s">
        <v>25</v>
      </c>
      <c r="G94" s="4" t="s">
        <v>26</v>
      </c>
      <c r="H94" s="4" t="s">
        <v>31</v>
      </c>
      <c r="I94" s="6">
        <v>680462.56387700001</v>
      </c>
      <c r="J94" s="7">
        <v>0.01</v>
      </c>
      <c r="K94" s="7">
        <v>9.9999997764825821E-3</v>
      </c>
      <c r="L94" s="4" t="s">
        <v>28</v>
      </c>
      <c r="M94" s="4" t="s">
        <v>28</v>
      </c>
      <c r="N94" s="4" t="s">
        <v>28</v>
      </c>
      <c r="O94" s="4" t="s">
        <v>28</v>
      </c>
      <c r="P94" s="4" t="s">
        <v>28</v>
      </c>
      <c r="Q94" s="4" t="s">
        <v>28</v>
      </c>
      <c r="R94" s="8">
        <v>46254.687780439817</v>
      </c>
      <c r="S94" s="4" t="s">
        <v>29</v>
      </c>
      <c r="T94" s="4" t="s">
        <v>30</v>
      </c>
    </row>
    <row r="95" spans="1:20" x14ac:dyDescent="0.3">
      <c r="A95" s="4" t="s">
        <v>21</v>
      </c>
      <c r="B95" s="4" t="s">
        <v>43</v>
      </c>
      <c r="C95" s="4" t="s">
        <v>32</v>
      </c>
      <c r="D95" s="5">
        <v>0.05</v>
      </c>
      <c r="E95" s="4" t="s">
        <v>24</v>
      </c>
      <c r="F95" s="4" t="s">
        <v>25</v>
      </c>
      <c r="G95" s="4" t="s">
        <v>26</v>
      </c>
      <c r="H95" s="4" t="s">
        <v>27</v>
      </c>
      <c r="I95" s="6">
        <v>1916.45182</v>
      </c>
      <c r="J95" s="7">
        <v>0.01</v>
      </c>
      <c r="K95" s="7">
        <v>9.9999997764825821E-3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8">
        <v>46254.687780439817</v>
      </c>
      <c r="S95" s="4" t="s">
        <v>29</v>
      </c>
      <c r="T95" s="4" t="s">
        <v>30</v>
      </c>
    </row>
    <row r="96" spans="1:20" x14ac:dyDescent="0.3">
      <c r="A96" s="4" t="s">
        <v>21</v>
      </c>
      <c r="B96" s="4" t="s">
        <v>43</v>
      </c>
      <c r="C96" s="4" t="s">
        <v>32</v>
      </c>
      <c r="D96" s="5">
        <v>0.05</v>
      </c>
      <c r="E96" s="4" t="s">
        <v>24</v>
      </c>
      <c r="F96" s="4" t="s">
        <v>25</v>
      </c>
      <c r="G96" s="4" t="s">
        <v>26</v>
      </c>
      <c r="H96" s="4" t="s">
        <v>31</v>
      </c>
      <c r="I96" s="6">
        <v>786877.76124400005</v>
      </c>
      <c r="J96" s="7">
        <v>0.01</v>
      </c>
      <c r="K96" s="7">
        <v>9.9999997764825821E-3</v>
      </c>
      <c r="L96" s="4" t="s">
        <v>28</v>
      </c>
      <c r="M96" s="4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8">
        <v>46254.687780439817</v>
      </c>
      <c r="S96" s="4" t="s">
        <v>29</v>
      </c>
      <c r="T96" s="4" t="s">
        <v>30</v>
      </c>
    </row>
    <row r="97" spans="1:20" x14ac:dyDescent="0.3">
      <c r="A97" s="4" t="s">
        <v>21</v>
      </c>
      <c r="B97" s="4" t="s">
        <v>43</v>
      </c>
      <c r="C97" s="4" t="s">
        <v>32</v>
      </c>
      <c r="D97" s="5">
        <v>0.1</v>
      </c>
      <c r="E97" s="4" t="s">
        <v>24</v>
      </c>
      <c r="F97" s="4" t="s">
        <v>25</v>
      </c>
      <c r="G97" s="4" t="s">
        <v>26</v>
      </c>
      <c r="H97" s="4" t="s">
        <v>27</v>
      </c>
      <c r="I97" s="6">
        <v>1462.06035</v>
      </c>
      <c r="J97" s="7">
        <v>0.01</v>
      </c>
      <c r="K97" s="7">
        <v>9.9999997764825821E-3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8">
        <v>46254.687780439817</v>
      </c>
      <c r="S97" s="4" t="s">
        <v>29</v>
      </c>
      <c r="T97" s="4" t="s">
        <v>30</v>
      </c>
    </row>
    <row r="98" spans="1:20" x14ac:dyDescent="0.3">
      <c r="A98" s="4" t="s">
        <v>21</v>
      </c>
      <c r="B98" s="4" t="s">
        <v>43</v>
      </c>
      <c r="C98" s="4" t="s">
        <v>32</v>
      </c>
      <c r="D98" s="5">
        <v>0.1</v>
      </c>
      <c r="E98" s="4" t="s">
        <v>24</v>
      </c>
      <c r="F98" s="4" t="s">
        <v>25</v>
      </c>
      <c r="G98" s="4" t="s">
        <v>26</v>
      </c>
      <c r="H98" s="4" t="s">
        <v>31</v>
      </c>
      <c r="I98" s="6">
        <v>786423.36977300001</v>
      </c>
      <c r="J98" s="7">
        <v>0.01</v>
      </c>
      <c r="K98" s="7">
        <v>9.9999997764825821E-3</v>
      </c>
      <c r="L98" s="4" t="s">
        <v>28</v>
      </c>
      <c r="M98" s="4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8">
        <v>46254.687780439817</v>
      </c>
      <c r="S98" s="4" t="s">
        <v>29</v>
      </c>
      <c r="T98" s="4" t="s">
        <v>30</v>
      </c>
    </row>
    <row r="99" spans="1:20" x14ac:dyDescent="0.3">
      <c r="A99" s="4" t="s">
        <v>21</v>
      </c>
      <c r="B99" s="4" t="s">
        <v>44</v>
      </c>
      <c r="C99" s="4" t="s">
        <v>23</v>
      </c>
      <c r="D99" s="5">
        <v>0.05</v>
      </c>
      <c r="E99" s="4" t="s">
        <v>24</v>
      </c>
      <c r="F99" s="4" t="s">
        <v>25</v>
      </c>
      <c r="G99" s="4" t="s">
        <v>26</v>
      </c>
      <c r="H99" s="4" t="s">
        <v>27</v>
      </c>
      <c r="I99" s="6">
        <v>2084.6736179999998</v>
      </c>
      <c r="J99" s="7">
        <v>0.01</v>
      </c>
      <c r="K99" s="7">
        <v>9.9999997764825821E-3</v>
      </c>
      <c r="L99" s="4" t="s">
        <v>28</v>
      </c>
      <c r="M99" s="4" t="s">
        <v>28</v>
      </c>
      <c r="N99" s="4" t="s">
        <v>28</v>
      </c>
      <c r="O99" s="4" t="s">
        <v>28</v>
      </c>
      <c r="P99" s="4" t="s">
        <v>28</v>
      </c>
      <c r="Q99" s="4" t="s">
        <v>28</v>
      </c>
      <c r="R99" s="8">
        <v>46254.687780451393</v>
      </c>
      <c r="S99" s="4" t="s">
        <v>29</v>
      </c>
      <c r="T99" s="4" t="s">
        <v>30</v>
      </c>
    </row>
    <row r="100" spans="1:20" x14ac:dyDescent="0.3">
      <c r="A100" s="4" t="s">
        <v>21</v>
      </c>
      <c r="B100" s="4" t="s">
        <v>44</v>
      </c>
      <c r="C100" s="4" t="s">
        <v>23</v>
      </c>
      <c r="D100" s="5">
        <v>0.05</v>
      </c>
      <c r="E100" s="4" t="s">
        <v>24</v>
      </c>
      <c r="F100" s="4" t="s">
        <v>25</v>
      </c>
      <c r="G100" s="4" t="s">
        <v>26</v>
      </c>
      <c r="H100" s="4" t="s">
        <v>31</v>
      </c>
      <c r="I100" s="6">
        <v>680850.20226399996</v>
      </c>
      <c r="J100" s="7">
        <v>0.01</v>
      </c>
      <c r="K100" s="7">
        <v>9.9999997764825821E-3</v>
      </c>
      <c r="L100" s="4" t="s">
        <v>28</v>
      </c>
      <c r="M100" s="4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8">
        <v>46254.687780451393</v>
      </c>
      <c r="S100" s="4" t="s">
        <v>29</v>
      </c>
      <c r="T100" s="4" t="s">
        <v>30</v>
      </c>
    </row>
    <row r="101" spans="1:20" x14ac:dyDescent="0.3">
      <c r="A101" s="4" t="s">
        <v>21</v>
      </c>
      <c r="B101" s="4" t="s">
        <v>44</v>
      </c>
      <c r="C101" s="4" t="s">
        <v>23</v>
      </c>
      <c r="D101" s="5">
        <v>0.1</v>
      </c>
      <c r="E101" s="4" t="s">
        <v>24</v>
      </c>
      <c r="F101" s="4" t="s">
        <v>25</v>
      </c>
      <c r="G101" s="4" t="s">
        <v>26</v>
      </c>
      <c r="H101" s="4" t="s">
        <v>27</v>
      </c>
      <c r="I101" s="6">
        <v>1646.9664580000001</v>
      </c>
      <c r="J101" s="7">
        <v>0.01</v>
      </c>
      <c r="K101" s="7">
        <v>9.9999997764825821E-3</v>
      </c>
      <c r="L101" s="4" t="s">
        <v>28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8">
        <v>46254.687780451393</v>
      </c>
      <c r="S101" s="4" t="s">
        <v>29</v>
      </c>
      <c r="T101" s="4" t="s">
        <v>30</v>
      </c>
    </row>
    <row r="102" spans="1:20" x14ac:dyDescent="0.3">
      <c r="A102" s="4" t="s">
        <v>21</v>
      </c>
      <c r="B102" s="4" t="s">
        <v>44</v>
      </c>
      <c r="C102" s="4" t="s">
        <v>23</v>
      </c>
      <c r="D102" s="5">
        <v>0.1</v>
      </c>
      <c r="E102" s="4" t="s">
        <v>24</v>
      </c>
      <c r="F102" s="4" t="s">
        <v>25</v>
      </c>
      <c r="G102" s="4" t="s">
        <v>26</v>
      </c>
      <c r="H102" s="4" t="s">
        <v>31</v>
      </c>
      <c r="I102" s="6">
        <v>680412.49510499998</v>
      </c>
      <c r="J102" s="7">
        <v>0.01</v>
      </c>
      <c r="K102" s="7">
        <v>9.9999997764825821E-3</v>
      </c>
      <c r="L102" s="4" t="s">
        <v>28</v>
      </c>
      <c r="M102" s="4" t="s">
        <v>28</v>
      </c>
      <c r="N102" s="4" t="s">
        <v>28</v>
      </c>
      <c r="O102" s="4" t="s">
        <v>28</v>
      </c>
      <c r="P102" s="4" t="s">
        <v>28</v>
      </c>
      <c r="Q102" s="4" t="s">
        <v>28</v>
      </c>
      <c r="R102" s="8">
        <v>46254.687780451393</v>
      </c>
      <c r="S102" s="4" t="s">
        <v>29</v>
      </c>
      <c r="T102" s="4" t="s">
        <v>30</v>
      </c>
    </row>
    <row r="103" spans="1:20" x14ac:dyDescent="0.3">
      <c r="A103" s="4" t="s">
        <v>21</v>
      </c>
      <c r="B103" s="4" t="s">
        <v>44</v>
      </c>
      <c r="C103" s="4" t="s">
        <v>32</v>
      </c>
      <c r="D103" s="5">
        <v>0.05</v>
      </c>
      <c r="E103" s="4" t="s">
        <v>24</v>
      </c>
      <c r="F103" s="4" t="s">
        <v>25</v>
      </c>
      <c r="G103" s="4" t="s">
        <v>26</v>
      </c>
      <c r="H103" s="4" t="s">
        <v>27</v>
      </c>
      <c r="I103" s="6">
        <v>1737.0548309999999</v>
      </c>
      <c r="J103" s="7">
        <v>0.01</v>
      </c>
      <c r="K103" s="7">
        <v>9.9999997764825821E-3</v>
      </c>
      <c r="L103" s="4" t="s">
        <v>28</v>
      </c>
      <c r="M103" s="4" t="s">
        <v>28</v>
      </c>
      <c r="N103" s="4" t="s">
        <v>28</v>
      </c>
      <c r="O103" s="4" t="s">
        <v>28</v>
      </c>
      <c r="P103" s="4" t="s">
        <v>28</v>
      </c>
      <c r="Q103" s="4" t="s">
        <v>28</v>
      </c>
      <c r="R103" s="8">
        <v>46254.687780451393</v>
      </c>
      <c r="S103" s="4" t="s">
        <v>29</v>
      </c>
      <c r="T103" s="4" t="s">
        <v>30</v>
      </c>
    </row>
    <row r="104" spans="1:20" x14ac:dyDescent="0.3">
      <c r="A104" s="4" t="s">
        <v>21</v>
      </c>
      <c r="B104" s="4" t="s">
        <v>44</v>
      </c>
      <c r="C104" s="4" t="s">
        <v>32</v>
      </c>
      <c r="D104" s="5">
        <v>0.05</v>
      </c>
      <c r="E104" s="4" t="s">
        <v>24</v>
      </c>
      <c r="F104" s="4" t="s">
        <v>25</v>
      </c>
      <c r="G104" s="4" t="s">
        <v>26</v>
      </c>
      <c r="H104" s="4" t="s">
        <v>31</v>
      </c>
      <c r="I104" s="6">
        <v>786698.36425400001</v>
      </c>
      <c r="J104" s="7">
        <v>0.01</v>
      </c>
      <c r="K104" s="7">
        <v>9.9999997764825821E-3</v>
      </c>
      <c r="L104" s="4" t="s">
        <v>28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8">
        <v>46254.687780451393</v>
      </c>
      <c r="S104" s="4" t="s">
        <v>29</v>
      </c>
      <c r="T104" s="4" t="s">
        <v>30</v>
      </c>
    </row>
    <row r="105" spans="1:20" x14ac:dyDescent="0.3">
      <c r="A105" s="4" t="s">
        <v>21</v>
      </c>
      <c r="B105" s="4" t="s">
        <v>44</v>
      </c>
      <c r="C105" s="4" t="s">
        <v>32</v>
      </c>
      <c r="D105" s="5">
        <v>0.1</v>
      </c>
      <c r="E105" s="4" t="s">
        <v>24</v>
      </c>
      <c r="F105" s="4" t="s">
        <v>25</v>
      </c>
      <c r="G105" s="4" t="s">
        <v>26</v>
      </c>
      <c r="H105" s="4" t="s">
        <v>27</v>
      </c>
      <c r="I105" s="6">
        <v>1385.8594149999999</v>
      </c>
      <c r="J105" s="7">
        <v>0.01</v>
      </c>
      <c r="K105" s="7">
        <v>9.9999997764825821E-3</v>
      </c>
      <c r="L105" s="4" t="s">
        <v>28</v>
      </c>
      <c r="M105" s="4" t="s">
        <v>28</v>
      </c>
      <c r="N105" s="4" t="s">
        <v>28</v>
      </c>
      <c r="O105" s="4" t="s">
        <v>28</v>
      </c>
      <c r="P105" s="4" t="s">
        <v>28</v>
      </c>
      <c r="Q105" s="4" t="s">
        <v>28</v>
      </c>
      <c r="R105" s="8">
        <v>46254.687780451393</v>
      </c>
      <c r="S105" s="4" t="s">
        <v>29</v>
      </c>
      <c r="T105" s="4" t="s">
        <v>30</v>
      </c>
    </row>
    <row r="106" spans="1:20" x14ac:dyDescent="0.3">
      <c r="A106" s="4" t="s">
        <v>21</v>
      </c>
      <c r="B106" s="4" t="s">
        <v>44</v>
      </c>
      <c r="C106" s="4" t="s">
        <v>32</v>
      </c>
      <c r="D106" s="5">
        <v>0.1</v>
      </c>
      <c r="E106" s="4" t="s">
        <v>24</v>
      </c>
      <c r="F106" s="4" t="s">
        <v>25</v>
      </c>
      <c r="G106" s="4" t="s">
        <v>26</v>
      </c>
      <c r="H106" s="4" t="s">
        <v>31</v>
      </c>
      <c r="I106" s="6">
        <v>786347.16883900005</v>
      </c>
      <c r="J106" s="7">
        <v>0.01</v>
      </c>
      <c r="K106" s="7">
        <v>9.9999997764825821E-3</v>
      </c>
      <c r="L106" s="4" t="s">
        <v>28</v>
      </c>
      <c r="M106" s="4" t="s">
        <v>28</v>
      </c>
      <c r="N106" s="4" t="s">
        <v>28</v>
      </c>
      <c r="O106" s="4" t="s">
        <v>28</v>
      </c>
      <c r="P106" s="4" t="s">
        <v>28</v>
      </c>
      <c r="Q106" s="4" t="s">
        <v>28</v>
      </c>
      <c r="R106" s="8">
        <v>46254.687780451393</v>
      </c>
      <c r="S106" s="4" t="s">
        <v>29</v>
      </c>
      <c r="T106" s="4" t="s">
        <v>30</v>
      </c>
    </row>
    <row r="107" spans="1:20" x14ac:dyDescent="0.3">
      <c r="A107" s="4" t="s">
        <v>21</v>
      </c>
      <c r="B107" s="4" t="s">
        <v>45</v>
      </c>
      <c r="C107" s="4" t="s">
        <v>23</v>
      </c>
      <c r="D107" s="5">
        <v>0.05</v>
      </c>
      <c r="E107" s="4" t="s">
        <v>24</v>
      </c>
      <c r="F107" s="4" t="s">
        <v>25</v>
      </c>
      <c r="G107" s="4" t="s">
        <v>26</v>
      </c>
      <c r="H107" s="4" t="s">
        <v>27</v>
      </c>
      <c r="I107" s="6">
        <v>1478.2155290000001</v>
      </c>
      <c r="J107" s="7">
        <v>0.01</v>
      </c>
      <c r="K107" s="7">
        <v>9.9999997764825821E-3</v>
      </c>
      <c r="L107" s="4" t="s">
        <v>28</v>
      </c>
      <c r="M107" s="4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8">
        <v>46254.687780451393</v>
      </c>
      <c r="S107" s="4" t="s">
        <v>29</v>
      </c>
      <c r="T107" s="4" t="s">
        <v>30</v>
      </c>
    </row>
    <row r="108" spans="1:20" x14ac:dyDescent="0.3">
      <c r="A108" s="4" t="s">
        <v>21</v>
      </c>
      <c r="B108" s="4" t="s">
        <v>45</v>
      </c>
      <c r="C108" s="4" t="s">
        <v>23</v>
      </c>
      <c r="D108" s="5">
        <v>0.05</v>
      </c>
      <c r="E108" s="4" t="s">
        <v>24</v>
      </c>
      <c r="F108" s="4" t="s">
        <v>25</v>
      </c>
      <c r="G108" s="4" t="s">
        <v>26</v>
      </c>
      <c r="H108" s="4" t="s">
        <v>31</v>
      </c>
      <c r="I108" s="6">
        <v>680243.744175</v>
      </c>
      <c r="J108" s="7">
        <v>0.01</v>
      </c>
      <c r="K108" s="7">
        <v>9.9999997764825821E-3</v>
      </c>
      <c r="L108" s="4" t="s">
        <v>28</v>
      </c>
      <c r="M108" s="4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8">
        <v>46254.687780451393</v>
      </c>
      <c r="S108" s="4" t="s">
        <v>29</v>
      </c>
      <c r="T108" s="4" t="s">
        <v>30</v>
      </c>
    </row>
    <row r="109" spans="1:20" x14ac:dyDescent="0.3">
      <c r="A109" s="4" t="s">
        <v>21</v>
      </c>
      <c r="B109" s="4" t="s">
        <v>45</v>
      </c>
      <c r="C109" s="4" t="s">
        <v>23</v>
      </c>
      <c r="D109" s="5">
        <v>0.1</v>
      </c>
      <c r="E109" s="4" t="s">
        <v>24</v>
      </c>
      <c r="F109" s="4" t="s">
        <v>25</v>
      </c>
      <c r="G109" s="4" t="s">
        <v>26</v>
      </c>
      <c r="H109" s="4" t="s">
        <v>27</v>
      </c>
      <c r="I109" s="6">
        <v>1239.8718590000001</v>
      </c>
      <c r="J109" s="7">
        <v>0.01</v>
      </c>
      <c r="K109" s="7">
        <v>9.9999997764825821E-3</v>
      </c>
      <c r="L109" s="4" t="s">
        <v>28</v>
      </c>
      <c r="M109" s="4" t="s">
        <v>28</v>
      </c>
      <c r="N109" s="4" t="s">
        <v>28</v>
      </c>
      <c r="O109" s="4" t="s">
        <v>28</v>
      </c>
      <c r="P109" s="4" t="s">
        <v>28</v>
      </c>
      <c r="Q109" s="4" t="s">
        <v>28</v>
      </c>
      <c r="R109" s="8">
        <v>46254.687780451393</v>
      </c>
      <c r="S109" s="4" t="s">
        <v>29</v>
      </c>
      <c r="T109" s="4" t="s">
        <v>30</v>
      </c>
    </row>
    <row r="110" spans="1:20" x14ac:dyDescent="0.3">
      <c r="A110" s="4" t="s">
        <v>21</v>
      </c>
      <c r="B110" s="4" t="s">
        <v>45</v>
      </c>
      <c r="C110" s="4" t="s">
        <v>23</v>
      </c>
      <c r="D110" s="5">
        <v>0.1</v>
      </c>
      <c r="E110" s="4" t="s">
        <v>24</v>
      </c>
      <c r="F110" s="4" t="s">
        <v>25</v>
      </c>
      <c r="G110" s="4" t="s">
        <v>26</v>
      </c>
      <c r="H110" s="4" t="s">
        <v>31</v>
      </c>
      <c r="I110" s="6">
        <v>680005.40050600003</v>
      </c>
      <c r="J110" s="7">
        <v>0.01</v>
      </c>
      <c r="K110" s="7">
        <v>9.9999997764825821E-3</v>
      </c>
      <c r="L110" s="4" t="s">
        <v>28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8">
        <v>46254.687780451393</v>
      </c>
      <c r="S110" s="4" t="s">
        <v>29</v>
      </c>
      <c r="T110" s="4" t="s">
        <v>30</v>
      </c>
    </row>
    <row r="111" spans="1:20" x14ac:dyDescent="0.3">
      <c r="A111" s="4" t="s">
        <v>21</v>
      </c>
      <c r="B111" s="4" t="s">
        <v>45</v>
      </c>
      <c r="C111" s="4" t="s">
        <v>32</v>
      </c>
      <c r="D111" s="5">
        <v>0.05</v>
      </c>
      <c r="E111" s="4" t="s">
        <v>24</v>
      </c>
      <c r="F111" s="4" t="s">
        <v>25</v>
      </c>
      <c r="G111" s="4" t="s">
        <v>26</v>
      </c>
      <c r="H111" s="4" t="s">
        <v>27</v>
      </c>
      <c r="I111" s="6">
        <v>1181.4093359999999</v>
      </c>
      <c r="J111" s="7">
        <v>0.01</v>
      </c>
      <c r="K111" s="7">
        <v>9.9999997764825821E-3</v>
      </c>
      <c r="L111" s="4" t="s">
        <v>28</v>
      </c>
      <c r="M111" s="4" t="s">
        <v>28</v>
      </c>
      <c r="N111" s="4" t="s">
        <v>28</v>
      </c>
      <c r="O111" s="4" t="s">
        <v>28</v>
      </c>
      <c r="P111" s="4" t="s">
        <v>28</v>
      </c>
      <c r="Q111" s="4" t="s">
        <v>28</v>
      </c>
      <c r="R111" s="8">
        <v>46254.687780451393</v>
      </c>
      <c r="S111" s="4" t="s">
        <v>29</v>
      </c>
      <c r="T111" s="4" t="s">
        <v>30</v>
      </c>
    </row>
    <row r="112" spans="1:20" x14ac:dyDescent="0.3">
      <c r="A112" s="4" t="s">
        <v>21</v>
      </c>
      <c r="B112" s="4" t="s">
        <v>45</v>
      </c>
      <c r="C112" s="4" t="s">
        <v>32</v>
      </c>
      <c r="D112" s="5">
        <v>0.05</v>
      </c>
      <c r="E112" s="4" t="s">
        <v>24</v>
      </c>
      <c r="F112" s="4" t="s">
        <v>25</v>
      </c>
      <c r="G112" s="4" t="s">
        <v>26</v>
      </c>
      <c r="H112" s="4" t="s">
        <v>31</v>
      </c>
      <c r="I112" s="6">
        <v>786142.71875999996</v>
      </c>
      <c r="J112" s="7">
        <v>0.01</v>
      </c>
      <c r="K112" s="7">
        <v>9.9999997764825821E-3</v>
      </c>
      <c r="L112" s="4" t="s">
        <v>28</v>
      </c>
      <c r="M112" s="4" t="s">
        <v>28</v>
      </c>
      <c r="N112" s="4" t="s">
        <v>28</v>
      </c>
      <c r="O112" s="4" t="s">
        <v>28</v>
      </c>
      <c r="P112" s="4" t="s">
        <v>28</v>
      </c>
      <c r="Q112" s="4" t="s">
        <v>28</v>
      </c>
      <c r="R112" s="8">
        <v>46254.687780451393</v>
      </c>
      <c r="S112" s="4" t="s">
        <v>29</v>
      </c>
      <c r="T112" s="4" t="s">
        <v>30</v>
      </c>
    </row>
    <row r="113" spans="1:20" x14ac:dyDescent="0.3">
      <c r="A113" s="4" t="s">
        <v>21</v>
      </c>
      <c r="B113" s="4" t="s">
        <v>45</v>
      </c>
      <c r="C113" s="4" t="s">
        <v>32</v>
      </c>
      <c r="D113" s="5">
        <v>0.1</v>
      </c>
      <c r="E113" s="4" t="s">
        <v>24</v>
      </c>
      <c r="F113" s="4" t="s">
        <v>25</v>
      </c>
      <c r="G113" s="4" t="s">
        <v>26</v>
      </c>
      <c r="H113" s="4" t="s">
        <v>27</v>
      </c>
      <c r="I113" s="6">
        <v>994.16283299999998</v>
      </c>
      <c r="J113" s="7">
        <v>0.01</v>
      </c>
      <c r="K113" s="7">
        <v>9.9999997764825821E-3</v>
      </c>
      <c r="L113" s="4" t="s">
        <v>28</v>
      </c>
      <c r="M113" s="4" t="s">
        <v>28</v>
      </c>
      <c r="N113" s="4" t="s">
        <v>28</v>
      </c>
      <c r="O113" s="4" t="s">
        <v>28</v>
      </c>
      <c r="P113" s="4" t="s">
        <v>28</v>
      </c>
      <c r="Q113" s="4" t="s">
        <v>28</v>
      </c>
      <c r="R113" s="8">
        <v>46254.687780451393</v>
      </c>
      <c r="S113" s="4" t="s">
        <v>29</v>
      </c>
      <c r="T113" s="4" t="s">
        <v>30</v>
      </c>
    </row>
    <row r="114" spans="1:20" x14ac:dyDescent="0.3">
      <c r="A114" s="4" t="s">
        <v>21</v>
      </c>
      <c r="B114" s="4" t="s">
        <v>45</v>
      </c>
      <c r="C114" s="4" t="s">
        <v>32</v>
      </c>
      <c r="D114" s="5">
        <v>0.1</v>
      </c>
      <c r="E114" s="4" t="s">
        <v>24</v>
      </c>
      <c r="F114" s="4" t="s">
        <v>25</v>
      </c>
      <c r="G114" s="4" t="s">
        <v>26</v>
      </c>
      <c r="H114" s="4" t="s">
        <v>31</v>
      </c>
      <c r="I114" s="6">
        <v>785955.47225600004</v>
      </c>
      <c r="J114" s="7">
        <v>0.01</v>
      </c>
      <c r="K114" s="7">
        <v>9.9999997764825821E-3</v>
      </c>
      <c r="L114" s="4" t="s">
        <v>28</v>
      </c>
      <c r="M114" s="4" t="s">
        <v>28</v>
      </c>
      <c r="N114" s="4" t="s">
        <v>28</v>
      </c>
      <c r="O114" s="4" t="s">
        <v>28</v>
      </c>
      <c r="P114" s="4" t="s">
        <v>28</v>
      </c>
      <c r="Q114" s="4" t="s">
        <v>28</v>
      </c>
      <c r="R114" s="8">
        <v>46254.687780451393</v>
      </c>
      <c r="S114" s="4" t="s">
        <v>29</v>
      </c>
      <c r="T114" s="4" t="s">
        <v>30</v>
      </c>
    </row>
    <row r="115" spans="1:20" x14ac:dyDescent="0.3">
      <c r="A115" s="4" t="s">
        <v>21</v>
      </c>
      <c r="B115" s="4" t="s">
        <v>46</v>
      </c>
      <c r="C115" s="4" t="s">
        <v>23</v>
      </c>
      <c r="D115" s="5">
        <v>0.05</v>
      </c>
      <c r="E115" s="4" t="s">
        <v>24</v>
      </c>
      <c r="F115" s="4" t="s">
        <v>25</v>
      </c>
      <c r="G115" s="4" t="s">
        <v>26</v>
      </c>
      <c r="H115" s="4" t="s">
        <v>27</v>
      </c>
      <c r="I115" s="6">
        <v>1051.832676</v>
      </c>
      <c r="J115" s="7">
        <v>0.01</v>
      </c>
      <c r="K115" s="7">
        <v>9.9999997764825821E-3</v>
      </c>
      <c r="L115" s="4" t="s">
        <v>28</v>
      </c>
      <c r="M115" s="4" t="s">
        <v>28</v>
      </c>
      <c r="N115" s="4" t="s">
        <v>28</v>
      </c>
      <c r="O115" s="4" t="s">
        <v>28</v>
      </c>
      <c r="P115" s="4" t="s">
        <v>28</v>
      </c>
      <c r="Q115" s="4" t="s">
        <v>28</v>
      </c>
      <c r="R115" s="8">
        <v>46254.687780451393</v>
      </c>
      <c r="S115" s="4" t="s">
        <v>29</v>
      </c>
      <c r="T115" s="4" t="s">
        <v>30</v>
      </c>
    </row>
    <row r="116" spans="1:20" x14ac:dyDescent="0.3">
      <c r="A116" s="4" t="s">
        <v>21</v>
      </c>
      <c r="B116" s="4" t="s">
        <v>46</v>
      </c>
      <c r="C116" s="4" t="s">
        <v>23</v>
      </c>
      <c r="D116" s="5">
        <v>0.05</v>
      </c>
      <c r="E116" s="4" t="s">
        <v>24</v>
      </c>
      <c r="F116" s="4" t="s">
        <v>25</v>
      </c>
      <c r="G116" s="4" t="s">
        <v>26</v>
      </c>
      <c r="H116" s="4" t="s">
        <v>31</v>
      </c>
      <c r="I116" s="6">
        <v>679817.36132200004</v>
      </c>
      <c r="J116" s="7">
        <v>0.01</v>
      </c>
      <c r="K116" s="7">
        <v>9.9999997764825821E-3</v>
      </c>
      <c r="L116" s="4" t="s">
        <v>28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8">
        <v>46254.687780451393</v>
      </c>
      <c r="S116" s="4" t="s">
        <v>29</v>
      </c>
      <c r="T116" s="4" t="s">
        <v>30</v>
      </c>
    </row>
    <row r="117" spans="1:20" x14ac:dyDescent="0.3">
      <c r="A117" s="4" t="s">
        <v>21</v>
      </c>
      <c r="B117" s="4" t="s">
        <v>46</v>
      </c>
      <c r="C117" s="4" t="s">
        <v>23</v>
      </c>
      <c r="D117" s="5">
        <v>0.1</v>
      </c>
      <c r="E117" s="4" t="s">
        <v>24</v>
      </c>
      <c r="F117" s="4" t="s">
        <v>25</v>
      </c>
      <c r="G117" s="4" t="s">
        <v>26</v>
      </c>
      <c r="H117" s="4" t="s">
        <v>27</v>
      </c>
      <c r="I117" s="6">
        <v>947.77126299999998</v>
      </c>
      <c r="J117" s="7">
        <v>0.01</v>
      </c>
      <c r="K117" s="7">
        <v>9.9999997764825821E-3</v>
      </c>
      <c r="L117" s="4" t="s">
        <v>28</v>
      </c>
      <c r="M117" s="4" t="s">
        <v>28</v>
      </c>
      <c r="N117" s="4" t="s">
        <v>28</v>
      </c>
      <c r="O117" s="4" t="s">
        <v>28</v>
      </c>
      <c r="P117" s="4" t="s">
        <v>28</v>
      </c>
      <c r="Q117" s="4" t="s">
        <v>28</v>
      </c>
      <c r="R117" s="8">
        <v>46254.687780451393</v>
      </c>
      <c r="S117" s="4" t="s">
        <v>29</v>
      </c>
      <c r="T117" s="4" t="s">
        <v>30</v>
      </c>
    </row>
    <row r="118" spans="1:20" x14ac:dyDescent="0.3">
      <c r="A118" s="4" t="s">
        <v>21</v>
      </c>
      <c r="B118" s="4" t="s">
        <v>46</v>
      </c>
      <c r="C118" s="4" t="s">
        <v>23</v>
      </c>
      <c r="D118" s="5">
        <v>0.1</v>
      </c>
      <c r="E118" s="4" t="s">
        <v>24</v>
      </c>
      <c r="F118" s="4" t="s">
        <v>25</v>
      </c>
      <c r="G118" s="4" t="s">
        <v>26</v>
      </c>
      <c r="H118" s="4" t="s">
        <v>31</v>
      </c>
      <c r="I118" s="6">
        <v>679713.29990999994</v>
      </c>
      <c r="J118" s="7">
        <v>0.01</v>
      </c>
      <c r="K118" s="7">
        <v>9.9999997764825821E-3</v>
      </c>
      <c r="L118" s="4" t="s">
        <v>28</v>
      </c>
      <c r="M118" s="4" t="s">
        <v>28</v>
      </c>
      <c r="N118" s="4" t="s">
        <v>28</v>
      </c>
      <c r="O118" s="4" t="s">
        <v>28</v>
      </c>
      <c r="P118" s="4" t="s">
        <v>28</v>
      </c>
      <c r="Q118" s="4" t="s">
        <v>28</v>
      </c>
      <c r="R118" s="8">
        <v>46254.687780451393</v>
      </c>
      <c r="S118" s="4" t="s">
        <v>29</v>
      </c>
      <c r="T118" s="4" t="s">
        <v>30</v>
      </c>
    </row>
    <row r="119" spans="1:20" x14ac:dyDescent="0.3">
      <c r="A119" s="4" t="s">
        <v>21</v>
      </c>
      <c r="B119" s="4" t="s">
        <v>46</v>
      </c>
      <c r="C119" s="4" t="s">
        <v>32</v>
      </c>
      <c r="D119" s="5">
        <v>0.05</v>
      </c>
      <c r="E119" s="4" t="s">
        <v>24</v>
      </c>
      <c r="F119" s="4" t="s">
        <v>25</v>
      </c>
      <c r="G119" s="4" t="s">
        <v>26</v>
      </c>
      <c r="H119" s="4" t="s">
        <v>27</v>
      </c>
      <c r="I119" s="6">
        <v>852.74789099999998</v>
      </c>
      <c r="J119" s="7">
        <v>0.01</v>
      </c>
      <c r="K119" s="7">
        <v>9.9999997764825821E-3</v>
      </c>
      <c r="L119" s="4" t="s">
        <v>28</v>
      </c>
      <c r="M119" s="4" t="s">
        <v>28</v>
      </c>
      <c r="N119" s="4" t="s">
        <v>28</v>
      </c>
      <c r="O119" s="4" t="s">
        <v>28</v>
      </c>
      <c r="P119" s="4" t="s">
        <v>28</v>
      </c>
      <c r="Q119" s="4" t="s">
        <v>28</v>
      </c>
      <c r="R119" s="8">
        <v>46254.687780451393</v>
      </c>
      <c r="S119" s="4" t="s">
        <v>29</v>
      </c>
      <c r="T119" s="4" t="s">
        <v>30</v>
      </c>
    </row>
    <row r="120" spans="1:20" x14ac:dyDescent="0.3">
      <c r="A120" s="4" t="s">
        <v>21</v>
      </c>
      <c r="B120" s="4" t="s">
        <v>46</v>
      </c>
      <c r="C120" s="4" t="s">
        <v>32</v>
      </c>
      <c r="D120" s="5">
        <v>0.05</v>
      </c>
      <c r="E120" s="4" t="s">
        <v>24</v>
      </c>
      <c r="F120" s="4" t="s">
        <v>25</v>
      </c>
      <c r="G120" s="4" t="s">
        <v>26</v>
      </c>
      <c r="H120" s="4" t="s">
        <v>31</v>
      </c>
      <c r="I120" s="6">
        <v>785814.05731499998</v>
      </c>
      <c r="J120" s="7">
        <v>0.01</v>
      </c>
      <c r="K120" s="7">
        <v>9.9999997764825821E-3</v>
      </c>
      <c r="L120" s="4" t="s">
        <v>28</v>
      </c>
      <c r="M120" s="4" t="s">
        <v>28</v>
      </c>
      <c r="N120" s="4" t="s">
        <v>28</v>
      </c>
      <c r="O120" s="4" t="s">
        <v>28</v>
      </c>
      <c r="P120" s="4" t="s">
        <v>28</v>
      </c>
      <c r="Q120" s="4" t="s">
        <v>28</v>
      </c>
      <c r="R120" s="8">
        <v>46254.687780451393</v>
      </c>
      <c r="S120" s="4" t="s">
        <v>29</v>
      </c>
      <c r="T120" s="4" t="s">
        <v>30</v>
      </c>
    </row>
    <row r="121" spans="1:20" x14ac:dyDescent="0.3">
      <c r="A121" s="4" t="s">
        <v>21</v>
      </c>
      <c r="B121" s="4" t="s">
        <v>46</v>
      </c>
      <c r="C121" s="4" t="s">
        <v>32</v>
      </c>
      <c r="D121" s="5">
        <v>0.1</v>
      </c>
      <c r="E121" s="4" t="s">
        <v>24</v>
      </c>
      <c r="F121" s="4" t="s">
        <v>25</v>
      </c>
      <c r="G121" s="4" t="s">
        <v>26</v>
      </c>
      <c r="H121" s="4" t="s">
        <v>27</v>
      </c>
      <c r="I121" s="6">
        <v>771.51991099999998</v>
      </c>
      <c r="J121" s="7">
        <v>0.01</v>
      </c>
      <c r="K121" s="7">
        <v>9.9999997764825821E-3</v>
      </c>
      <c r="L121" s="4" t="s">
        <v>28</v>
      </c>
      <c r="M121" s="4" t="s">
        <v>28</v>
      </c>
      <c r="N121" s="4" t="s">
        <v>28</v>
      </c>
      <c r="O121" s="4" t="s">
        <v>28</v>
      </c>
      <c r="P121" s="4" t="s">
        <v>28</v>
      </c>
      <c r="Q121" s="4" t="s">
        <v>28</v>
      </c>
      <c r="R121" s="8">
        <v>46254.687780451393</v>
      </c>
      <c r="S121" s="4" t="s">
        <v>29</v>
      </c>
      <c r="T121" s="4" t="s">
        <v>30</v>
      </c>
    </row>
    <row r="122" spans="1:20" x14ac:dyDescent="0.3">
      <c r="A122" s="4" t="s">
        <v>21</v>
      </c>
      <c r="B122" s="4" t="s">
        <v>46</v>
      </c>
      <c r="C122" s="4" t="s">
        <v>32</v>
      </c>
      <c r="D122" s="5">
        <v>0.1</v>
      </c>
      <c r="E122" s="4" t="s">
        <v>24</v>
      </c>
      <c r="F122" s="4" t="s">
        <v>25</v>
      </c>
      <c r="G122" s="4" t="s">
        <v>26</v>
      </c>
      <c r="H122" s="4" t="s">
        <v>31</v>
      </c>
      <c r="I122" s="6">
        <v>785732.82933400001</v>
      </c>
      <c r="J122" s="7">
        <v>0.01</v>
      </c>
      <c r="K122" s="7">
        <v>9.9999997764825821E-3</v>
      </c>
      <c r="L122" s="4" t="s">
        <v>28</v>
      </c>
      <c r="M122" s="4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8">
        <v>46254.687780451393</v>
      </c>
      <c r="S122" s="4" t="s">
        <v>29</v>
      </c>
      <c r="T122" s="4" t="s">
        <v>30</v>
      </c>
    </row>
    <row r="123" spans="1:20" x14ac:dyDescent="0.3">
      <c r="A123" s="4" t="s">
        <v>21</v>
      </c>
      <c r="B123" s="4" t="s">
        <v>47</v>
      </c>
      <c r="C123" s="4" t="s">
        <v>23</v>
      </c>
      <c r="D123" s="5">
        <v>0.05</v>
      </c>
      <c r="E123" s="4" t="s">
        <v>24</v>
      </c>
      <c r="F123" s="4" t="s">
        <v>25</v>
      </c>
      <c r="G123" s="4" t="s">
        <v>26</v>
      </c>
      <c r="H123" s="4" t="s">
        <v>27</v>
      </c>
      <c r="I123" s="6">
        <v>716.13672099999997</v>
      </c>
      <c r="J123" s="7">
        <v>0.01</v>
      </c>
      <c r="K123" s="7">
        <v>9.9999997764825821E-3</v>
      </c>
      <c r="L123" s="4" t="s">
        <v>28</v>
      </c>
      <c r="M123" s="4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8">
        <v>46254.687780451393</v>
      </c>
      <c r="S123" s="4" t="s">
        <v>29</v>
      </c>
      <c r="T123" s="4" t="s">
        <v>30</v>
      </c>
    </row>
    <row r="124" spans="1:20" x14ac:dyDescent="0.3">
      <c r="A124" s="4" t="s">
        <v>21</v>
      </c>
      <c r="B124" s="4" t="s">
        <v>47</v>
      </c>
      <c r="C124" s="4" t="s">
        <v>23</v>
      </c>
      <c r="D124" s="5">
        <v>0.05</v>
      </c>
      <c r="E124" s="4" t="s">
        <v>24</v>
      </c>
      <c r="F124" s="4" t="s">
        <v>25</v>
      </c>
      <c r="G124" s="4" t="s">
        <v>26</v>
      </c>
      <c r="H124" s="4" t="s">
        <v>31</v>
      </c>
      <c r="I124" s="6">
        <v>679481.66536700004</v>
      </c>
      <c r="J124" s="7">
        <v>0.01</v>
      </c>
      <c r="K124" s="7">
        <v>9.9999997764825821E-3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8">
        <v>46254.687780451393</v>
      </c>
      <c r="S124" s="4" t="s">
        <v>29</v>
      </c>
      <c r="T124" s="4" t="s">
        <v>30</v>
      </c>
    </row>
    <row r="125" spans="1:20" x14ac:dyDescent="0.3">
      <c r="A125" s="4" t="s">
        <v>21</v>
      </c>
      <c r="B125" s="4" t="s">
        <v>47</v>
      </c>
      <c r="C125" s="4" t="s">
        <v>23</v>
      </c>
      <c r="D125" s="5">
        <v>0.1</v>
      </c>
      <c r="E125" s="4" t="s">
        <v>24</v>
      </c>
      <c r="F125" s="4" t="s">
        <v>25</v>
      </c>
      <c r="G125" s="4" t="s">
        <v>26</v>
      </c>
      <c r="H125" s="4" t="s">
        <v>27</v>
      </c>
      <c r="I125" s="6">
        <v>649.76321800000005</v>
      </c>
      <c r="J125" s="7">
        <v>0.01</v>
      </c>
      <c r="K125" s="7">
        <v>9.9999997764825821E-3</v>
      </c>
      <c r="L125" s="4" t="s">
        <v>28</v>
      </c>
      <c r="M125" s="4" t="s">
        <v>28</v>
      </c>
      <c r="N125" s="4" t="s">
        <v>28</v>
      </c>
      <c r="O125" s="4" t="s">
        <v>28</v>
      </c>
      <c r="P125" s="4" t="s">
        <v>28</v>
      </c>
      <c r="Q125" s="4" t="s">
        <v>28</v>
      </c>
      <c r="R125" s="8">
        <v>46254.687780451393</v>
      </c>
      <c r="S125" s="4" t="s">
        <v>29</v>
      </c>
      <c r="T125" s="4" t="s">
        <v>30</v>
      </c>
    </row>
    <row r="126" spans="1:20" x14ac:dyDescent="0.3">
      <c r="A126" s="4" t="s">
        <v>21</v>
      </c>
      <c r="B126" s="4" t="s">
        <v>47</v>
      </c>
      <c r="C126" s="4" t="s">
        <v>23</v>
      </c>
      <c r="D126" s="5">
        <v>0.1</v>
      </c>
      <c r="E126" s="4" t="s">
        <v>24</v>
      </c>
      <c r="F126" s="4" t="s">
        <v>25</v>
      </c>
      <c r="G126" s="4" t="s">
        <v>26</v>
      </c>
      <c r="H126" s="4" t="s">
        <v>31</v>
      </c>
      <c r="I126" s="6">
        <v>679415.29186500004</v>
      </c>
      <c r="J126" s="7">
        <v>0.01</v>
      </c>
      <c r="K126" s="7">
        <v>9.9999997764825821E-3</v>
      </c>
      <c r="L126" s="4" t="s">
        <v>28</v>
      </c>
      <c r="M126" s="4" t="s">
        <v>28</v>
      </c>
      <c r="N126" s="4" t="s">
        <v>28</v>
      </c>
      <c r="O126" s="4" t="s">
        <v>28</v>
      </c>
      <c r="P126" s="4" t="s">
        <v>28</v>
      </c>
      <c r="Q126" s="4" t="s">
        <v>28</v>
      </c>
      <c r="R126" s="8">
        <v>46254.687780451393</v>
      </c>
      <c r="S126" s="4" t="s">
        <v>29</v>
      </c>
      <c r="T126" s="4" t="s">
        <v>30</v>
      </c>
    </row>
    <row r="127" spans="1:20" x14ac:dyDescent="0.3">
      <c r="A127" s="4" t="s">
        <v>21</v>
      </c>
      <c r="B127" s="4" t="s">
        <v>47</v>
      </c>
      <c r="C127" s="4" t="s">
        <v>32</v>
      </c>
      <c r="D127" s="5">
        <v>0.05</v>
      </c>
      <c r="E127" s="4" t="s">
        <v>24</v>
      </c>
      <c r="F127" s="4" t="s">
        <v>25</v>
      </c>
      <c r="G127" s="4" t="s">
        <v>26</v>
      </c>
      <c r="H127" s="4" t="s">
        <v>27</v>
      </c>
      <c r="I127" s="6">
        <v>595.69564000000003</v>
      </c>
      <c r="J127" s="7">
        <v>0.01</v>
      </c>
      <c r="K127" s="7">
        <v>9.9999997764825821E-3</v>
      </c>
      <c r="L127" s="4" t="s">
        <v>28</v>
      </c>
      <c r="M127" s="4" t="s">
        <v>28</v>
      </c>
      <c r="N127" s="4" t="s">
        <v>28</v>
      </c>
      <c r="O127" s="4" t="s">
        <v>28</v>
      </c>
      <c r="P127" s="4" t="s">
        <v>28</v>
      </c>
      <c r="Q127" s="4" t="s">
        <v>28</v>
      </c>
      <c r="R127" s="8">
        <v>46254.687780451393</v>
      </c>
      <c r="S127" s="4" t="s">
        <v>29</v>
      </c>
      <c r="T127" s="4" t="s">
        <v>30</v>
      </c>
    </row>
    <row r="128" spans="1:20" x14ac:dyDescent="0.3">
      <c r="A128" s="4" t="s">
        <v>21</v>
      </c>
      <c r="B128" s="4" t="s">
        <v>47</v>
      </c>
      <c r="C128" s="4" t="s">
        <v>32</v>
      </c>
      <c r="D128" s="5">
        <v>0.05</v>
      </c>
      <c r="E128" s="4" t="s">
        <v>24</v>
      </c>
      <c r="F128" s="4" t="s">
        <v>25</v>
      </c>
      <c r="G128" s="4" t="s">
        <v>26</v>
      </c>
      <c r="H128" s="4" t="s">
        <v>31</v>
      </c>
      <c r="I128" s="6">
        <v>785557.00506300002</v>
      </c>
      <c r="J128" s="7">
        <v>0.01</v>
      </c>
      <c r="K128" s="7">
        <v>9.9999997764825821E-3</v>
      </c>
      <c r="L128" s="4" t="s">
        <v>28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8">
        <v>46254.687780451393</v>
      </c>
      <c r="S128" s="4" t="s">
        <v>29</v>
      </c>
      <c r="T128" s="4" t="s">
        <v>30</v>
      </c>
    </row>
    <row r="129" spans="1:20" x14ac:dyDescent="0.3">
      <c r="A129" s="4" t="s">
        <v>21</v>
      </c>
      <c r="B129" s="4" t="s">
        <v>47</v>
      </c>
      <c r="C129" s="4" t="s">
        <v>32</v>
      </c>
      <c r="D129" s="5">
        <v>0.1</v>
      </c>
      <c r="E129" s="4" t="s">
        <v>24</v>
      </c>
      <c r="F129" s="4" t="s">
        <v>25</v>
      </c>
      <c r="G129" s="4" t="s">
        <v>26</v>
      </c>
      <c r="H129" s="4" t="s">
        <v>27</v>
      </c>
      <c r="I129" s="6">
        <v>542.278774</v>
      </c>
      <c r="J129" s="7">
        <v>0.01</v>
      </c>
      <c r="K129" s="7">
        <v>9.9999997764825821E-3</v>
      </c>
      <c r="L129" s="4" t="s">
        <v>28</v>
      </c>
      <c r="M129" s="4" t="s">
        <v>28</v>
      </c>
      <c r="N129" s="4" t="s">
        <v>28</v>
      </c>
      <c r="O129" s="4" t="s">
        <v>28</v>
      </c>
      <c r="P129" s="4" t="s">
        <v>28</v>
      </c>
      <c r="Q129" s="4" t="s">
        <v>28</v>
      </c>
      <c r="R129" s="8">
        <v>46254.687780451393</v>
      </c>
      <c r="S129" s="4" t="s">
        <v>29</v>
      </c>
      <c r="T129" s="4" t="s">
        <v>30</v>
      </c>
    </row>
    <row r="130" spans="1:20" x14ac:dyDescent="0.3">
      <c r="A130" s="4" t="s">
        <v>21</v>
      </c>
      <c r="B130" s="4" t="s">
        <v>47</v>
      </c>
      <c r="C130" s="4" t="s">
        <v>32</v>
      </c>
      <c r="D130" s="5">
        <v>0.1</v>
      </c>
      <c r="E130" s="4" t="s">
        <v>24</v>
      </c>
      <c r="F130" s="4" t="s">
        <v>25</v>
      </c>
      <c r="G130" s="4" t="s">
        <v>26</v>
      </c>
      <c r="H130" s="4" t="s">
        <v>31</v>
      </c>
      <c r="I130" s="6">
        <v>785503.58819799998</v>
      </c>
      <c r="J130" s="7">
        <v>0.01</v>
      </c>
      <c r="K130" s="7">
        <v>9.9999997764825821E-3</v>
      </c>
      <c r="L130" s="4" t="s">
        <v>28</v>
      </c>
      <c r="M130" s="4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8">
        <v>46254.687780451393</v>
      </c>
      <c r="S130" s="4" t="s">
        <v>29</v>
      </c>
      <c r="T130" s="4" t="s">
        <v>30</v>
      </c>
    </row>
    <row r="131" spans="1:20" x14ac:dyDescent="0.3">
      <c r="A131" s="4" t="s">
        <v>21</v>
      </c>
      <c r="B131" s="4" t="s">
        <v>48</v>
      </c>
      <c r="C131" s="4" t="s">
        <v>23</v>
      </c>
      <c r="D131" s="5">
        <v>0.05</v>
      </c>
      <c r="E131" s="4" t="s">
        <v>24</v>
      </c>
      <c r="F131" s="4" t="s">
        <v>25</v>
      </c>
      <c r="G131" s="4" t="s">
        <v>26</v>
      </c>
      <c r="H131" s="4" t="s">
        <v>27</v>
      </c>
      <c r="I131" s="6">
        <v>482.961747</v>
      </c>
      <c r="J131" s="7">
        <v>0.01</v>
      </c>
      <c r="K131" s="7">
        <v>9.9999997764825821E-3</v>
      </c>
      <c r="L131" s="4" t="s">
        <v>28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8">
        <v>46254.687780451393</v>
      </c>
      <c r="S131" s="4" t="s">
        <v>29</v>
      </c>
      <c r="T131" s="4" t="s">
        <v>30</v>
      </c>
    </row>
    <row r="132" spans="1:20" x14ac:dyDescent="0.3">
      <c r="A132" s="4" t="s">
        <v>21</v>
      </c>
      <c r="B132" s="4" t="s">
        <v>48</v>
      </c>
      <c r="C132" s="4" t="s">
        <v>23</v>
      </c>
      <c r="D132" s="5">
        <v>0.05</v>
      </c>
      <c r="E132" s="4" t="s">
        <v>24</v>
      </c>
      <c r="F132" s="4" t="s">
        <v>25</v>
      </c>
      <c r="G132" s="4" t="s">
        <v>26</v>
      </c>
      <c r="H132" s="4" t="s">
        <v>31</v>
      </c>
      <c r="I132" s="6">
        <v>679248.49039299996</v>
      </c>
      <c r="J132" s="7">
        <v>0.01</v>
      </c>
      <c r="K132" s="7">
        <v>9.9999997764825821E-3</v>
      </c>
      <c r="L132" s="4" t="s">
        <v>28</v>
      </c>
      <c r="M132" s="4" t="s">
        <v>28</v>
      </c>
      <c r="N132" s="4" t="s">
        <v>28</v>
      </c>
      <c r="O132" s="4" t="s">
        <v>28</v>
      </c>
      <c r="P132" s="4" t="s">
        <v>28</v>
      </c>
      <c r="Q132" s="4" t="s">
        <v>28</v>
      </c>
      <c r="R132" s="8">
        <v>46254.687780451393</v>
      </c>
      <c r="S132" s="4" t="s">
        <v>29</v>
      </c>
      <c r="T132" s="4" t="s">
        <v>30</v>
      </c>
    </row>
    <row r="133" spans="1:20" x14ac:dyDescent="0.3">
      <c r="A133" s="4" t="s">
        <v>21</v>
      </c>
      <c r="B133" s="4" t="s">
        <v>48</v>
      </c>
      <c r="C133" s="4" t="s">
        <v>23</v>
      </c>
      <c r="D133" s="5">
        <v>0.1</v>
      </c>
      <c r="E133" s="4" t="s">
        <v>24</v>
      </c>
      <c r="F133" s="4" t="s">
        <v>25</v>
      </c>
      <c r="G133" s="4" t="s">
        <v>26</v>
      </c>
      <c r="H133" s="4" t="s">
        <v>27</v>
      </c>
      <c r="I133" s="6">
        <v>438.843727</v>
      </c>
      <c r="J133" s="7">
        <v>0.01</v>
      </c>
      <c r="K133" s="7">
        <v>9.9999997764825821E-3</v>
      </c>
      <c r="L133" s="4" t="s">
        <v>28</v>
      </c>
      <c r="M133" s="4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8">
        <v>46254.687780451393</v>
      </c>
      <c r="S133" s="4" t="s">
        <v>29</v>
      </c>
      <c r="T133" s="4" t="s">
        <v>30</v>
      </c>
    </row>
    <row r="134" spans="1:20" x14ac:dyDescent="0.3">
      <c r="A134" s="4" t="s">
        <v>21</v>
      </c>
      <c r="B134" s="4" t="s">
        <v>48</v>
      </c>
      <c r="C134" s="4" t="s">
        <v>23</v>
      </c>
      <c r="D134" s="5">
        <v>0.1</v>
      </c>
      <c r="E134" s="4" t="s">
        <v>24</v>
      </c>
      <c r="F134" s="4" t="s">
        <v>25</v>
      </c>
      <c r="G134" s="4" t="s">
        <v>26</v>
      </c>
      <c r="H134" s="4" t="s">
        <v>31</v>
      </c>
      <c r="I134" s="6">
        <v>679204.37237400003</v>
      </c>
      <c r="J134" s="7">
        <v>0.01</v>
      </c>
      <c r="K134" s="7">
        <v>9.9999997764825821E-3</v>
      </c>
      <c r="L134" s="4" t="s">
        <v>28</v>
      </c>
      <c r="M134" s="4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8">
        <v>46254.687780451393</v>
      </c>
      <c r="S134" s="4" t="s">
        <v>29</v>
      </c>
      <c r="T134" s="4" t="s">
        <v>30</v>
      </c>
    </row>
    <row r="135" spans="1:20" x14ac:dyDescent="0.3">
      <c r="A135" s="4" t="s">
        <v>21</v>
      </c>
      <c r="B135" s="4" t="s">
        <v>48</v>
      </c>
      <c r="C135" s="4" t="s">
        <v>32</v>
      </c>
      <c r="D135" s="5">
        <v>0.05</v>
      </c>
      <c r="E135" s="4" t="s">
        <v>24</v>
      </c>
      <c r="F135" s="4" t="s">
        <v>25</v>
      </c>
      <c r="G135" s="4" t="s">
        <v>26</v>
      </c>
      <c r="H135" s="4" t="s">
        <v>27</v>
      </c>
      <c r="I135" s="6">
        <v>412.082402</v>
      </c>
      <c r="J135" s="7">
        <v>0.01</v>
      </c>
      <c r="K135" s="7">
        <v>9.9999997764825821E-3</v>
      </c>
      <c r="L135" s="4" t="s">
        <v>28</v>
      </c>
      <c r="M135" s="4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8">
        <v>46254.687780462962</v>
      </c>
      <c r="S135" s="4" t="s">
        <v>29</v>
      </c>
      <c r="T135" s="4" t="s">
        <v>30</v>
      </c>
    </row>
    <row r="136" spans="1:20" x14ac:dyDescent="0.3">
      <c r="A136" s="4" t="s">
        <v>21</v>
      </c>
      <c r="B136" s="4" t="s">
        <v>48</v>
      </c>
      <c r="C136" s="4" t="s">
        <v>32</v>
      </c>
      <c r="D136" s="5">
        <v>0.05</v>
      </c>
      <c r="E136" s="4" t="s">
        <v>24</v>
      </c>
      <c r="F136" s="4" t="s">
        <v>25</v>
      </c>
      <c r="G136" s="4" t="s">
        <v>26</v>
      </c>
      <c r="H136" s="4" t="s">
        <v>31</v>
      </c>
      <c r="I136" s="6">
        <v>785373.39182599995</v>
      </c>
      <c r="J136" s="7">
        <v>0.01</v>
      </c>
      <c r="K136" s="7">
        <v>9.9999997764825821E-3</v>
      </c>
      <c r="L136" s="4" t="s">
        <v>28</v>
      </c>
      <c r="M136" s="4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8">
        <v>46254.687780462962</v>
      </c>
      <c r="S136" s="4" t="s">
        <v>29</v>
      </c>
      <c r="T136" s="4" t="s">
        <v>30</v>
      </c>
    </row>
    <row r="137" spans="1:20" x14ac:dyDescent="0.3">
      <c r="A137" s="4" t="s">
        <v>21</v>
      </c>
      <c r="B137" s="4" t="s">
        <v>48</v>
      </c>
      <c r="C137" s="4" t="s">
        <v>32</v>
      </c>
      <c r="D137" s="5">
        <v>0.1</v>
      </c>
      <c r="E137" s="4" t="s">
        <v>24</v>
      </c>
      <c r="F137" s="4" t="s">
        <v>25</v>
      </c>
      <c r="G137" s="4" t="s">
        <v>26</v>
      </c>
      <c r="H137" s="4" t="s">
        <v>27</v>
      </c>
      <c r="I137" s="6">
        <v>375.460868</v>
      </c>
      <c r="J137" s="7">
        <v>0.01</v>
      </c>
      <c r="K137" s="7">
        <v>9.9999997764825821E-3</v>
      </c>
      <c r="L137" s="4" t="s">
        <v>28</v>
      </c>
      <c r="M137" s="4" t="s">
        <v>28</v>
      </c>
      <c r="N137" s="4" t="s">
        <v>28</v>
      </c>
      <c r="O137" s="4" t="s">
        <v>28</v>
      </c>
      <c r="P137" s="4" t="s">
        <v>28</v>
      </c>
      <c r="Q137" s="4" t="s">
        <v>28</v>
      </c>
      <c r="R137" s="8">
        <v>46254.687780462962</v>
      </c>
      <c r="S137" s="4" t="s">
        <v>29</v>
      </c>
      <c r="T137" s="4" t="s">
        <v>30</v>
      </c>
    </row>
    <row r="138" spans="1:20" x14ac:dyDescent="0.3">
      <c r="A138" s="4" t="s">
        <v>21</v>
      </c>
      <c r="B138" s="4" t="s">
        <v>48</v>
      </c>
      <c r="C138" s="4" t="s">
        <v>32</v>
      </c>
      <c r="D138" s="5">
        <v>0.1</v>
      </c>
      <c r="E138" s="4" t="s">
        <v>24</v>
      </c>
      <c r="F138" s="4" t="s">
        <v>25</v>
      </c>
      <c r="G138" s="4" t="s">
        <v>26</v>
      </c>
      <c r="H138" s="4" t="s">
        <v>31</v>
      </c>
      <c r="I138" s="6">
        <v>785336.77029200003</v>
      </c>
      <c r="J138" s="7">
        <v>0.01</v>
      </c>
      <c r="K138" s="7">
        <v>9.9999997764825821E-3</v>
      </c>
      <c r="L138" s="4" t="s">
        <v>28</v>
      </c>
      <c r="M138" s="4" t="s">
        <v>28</v>
      </c>
      <c r="N138" s="4" t="s">
        <v>28</v>
      </c>
      <c r="O138" s="4" t="s">
        <v>28</v>
      </c>
      <c r="P138" s="4" t="s">
        <v>28</v>
      </c>
      <c r="Q138" s="4" t="s">
        <v>28</v>
      </c>
      <c r="R138" s="8">
        <v>46254.687780462962</v>
      </c>
      <c r="S138" s="4" t="s">
        <v>29</v>
      </c>
      <c r="T138" s="4" t="s">
        <v>30</v>
      </c>
    </row>
    <row r="139" spans="1:20" x14ac:dyDescent="0.3">
      <c r="A139" s="4" t="s">
        <v>21</v>
      </c>
      <c r="B139" s="4" t="s">
        <v>49</v>
      </c>
      <c r="C139" s="4" t="s">
        <v>23</v>
      </c>
      <c r="D139" s="5">
        <v>0.05</v>
      </c>
      <c r="E139" s="4" t="s">
        <v>24</v>
      </c>
      <c r="F139" s="4" t="s">
        <v>25</v>
      </c>
      <c r="G139" s="4" t="s">
        <v>26</v>
      </c>
      <c r="H139" s="4" t="s">
        <v>27</v>
      </c>
      <c r="I139" s="6">
        <v>240.72676799999999</v>
      </c>
      <c r="J139" s="7">
        <v>0.01</v>
      </c>
      <c r="K139" s="7">
        <v>9.9999997764825821E-3</v>
      </c>
      <c r="L139" s="4" t="s">
        <v>28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8">
        <v>46254.687780462962</v>
      </c>
      <c r="S139" s="4" t="s">
        <v>29</v>
      </c>
      <c r="T139" s="4" t="s">
        <v>30</v>
      </c>
    </row>
    <row r="140" spans="1:20" x14ac:dyDescent="0.3">
      <c r="A140" s="4" t="s">
        <v>21</v>
      </c>
      <c r="B140" s="4" t="s">
        <v>49</v>
      </c>
      <c r="C140" s="4" t="s">
        <v>23</v>
      </c>
      <c r="D140" s="5">
        <v>0.05</v>
      </c>
      <c r="E140" s="4" t="s">
        <v>24</v>
      </c>
      <c r="F140" s="4" t="s">
        <v>25</v>
      </c>
      <c r="G140" s="4" t="s">
        <v>26</v>
      </c>
      <c r="H140" s="4" t="s">
        <v>31</v>
      </c>
      <c r="I140" s="6">
        <v>679006.25541500002</v>
      </c>
      <c r="J140" s="7">
        <v>0.01</v>
      </c>
      <c r="K140" s="7">
        <v>9.9999997764825821E-3</v>
      </c>
      <c r="L140" s="4" t="s">
        <v>28</v>
      </c>
      <c r="M140" s="4" t="s">
        <v>28</v>
      </c>
      <c r="N140" s="4" t="s">
        <v>28</v>
      </c>
      <c r="O140" s="4" t="s">
        <v>28</v>
      </c>
      <c r="P140" s="4" t="s">
        <v>28</v>
      </c>
      <c r="Q140" s="4" t="s">
        <v>28</v>
      </c>
      <c r="R140" s="8">
        <v>46254.687780462962</v>
      </c>
      <c r="S140" s="4" t="s">
        <v>29</v>
      </c>
      <c r="T140" s="4" t="s">
        <v>30</v>
      </c>
    </row>
    <row r="141" spans="1:20" x14ac:dyDescent="0.3">
      <c r="A141" s="4" t="s">
        <v>21</v>
      </c>
      <c r="B141" s="4" t="s">
        <v>49</v>
      </c>
      <c r="C141" s="4" t="s">
        <v>23</v>
      </c>
      <c r="D141" s="5">
        <v>0.1</v>
      </c>
      <c r="E141" s="4" t="s">
        <v>24</v>
      </c>
      <c r="F141" s="4" t="s">
        <v>25</v>
      </c>
      <c r="G141" s="4" t="s">
        <v>26</v>
      </c>
      <c r="H141" s="4" t="s">
        <v>27</v>
      </c>
      <c r="I141" s="6">
        <v>219.593357</v>
      </c>
      <c r="J141" s="7">
        <v>0.01</v>
      </c>
      <c r="K141" s="7">
        <v>9.9999997764825821E-3</v>
      </c>
      <c r="L141" s="4" t="s">
        <v>28</v>
      </c>
      <c r="M141" s="4" t="s">
        <v>28</v>
      </c>
      <c r="N141" s="4" t="s">
        <v>28</v>
      </c>
      <c r="O141" s="4" t="s">
        <v>28</v>
      </c>
      <c r="P141" s="4" t="s">
        <v>28</v>
      </c>
      <c r="Q141" s="4" t="s">
        <v>28</v>
      </c>
      <c r="R141" s="8">
        <v>46254.687780462962</v>
      </c>
      <c r="S141" s="4" t="s">
        <v>29</v>
      </c>
      <c r="T141" s="4" t="s">
        <v>30</v>
      </c>
    </row>
    <row r="142" spans="1:20" x14ac:dyDescent="0.3">
      <c r="A142" s="4" t="s">
        <v>21</v>
      </c>
      <c r="B142" s="4" t="s">
        <v>49</v>
      </c>
      <c r="C142" s="4" t="s">
        <v>23</v>
      </c>
      <c r="D142" s="5">
        <v>0.1</v>
      </c>
      <c r="E142" s="4" t="s">
        <v>24</v>
      </c>
      <c r="F142" s="4" t="s">
        <v>25</v>
      </c>
      <c r="G142" s="4" t="s">
        <v>26</v>
      </c>
      <c r="H142" s="4" t="s">
        <v>31</v>
      </c>
      <c r="I142" s="6">
        <v>678985.122004</v>
      </c>
      <c r="J142" s="7">
        <v>0.01</v>
      </c>
      <c r="K142" s="7">
        <v>9.9999997764825821E-3</v>
      </c>
      <c r="L142" s="4" t="s">
        <v>28</v>
      </c>
      <c r="M142" s="4" t="s">
        <v>28</v>
      </c>
      <c r="N142" s="4" t="s">
        <v>28</v>
      </c>
      <c r="O142" s="4" t="s">
        <v>28</v>
      </c>
      <c r="P142" s="4" t="s">
        <v>28</v>
      </c>
      <c r="Q142" s="4" t="s">
        <v>28</v>
      </c>
      <c r="R142" s="8">
        <v>46254.687780462962</v>
      </c>
      <c r="S142" s="4" t="s">
        <v>29</v>
      </c>
      <c r="T142" s="4" t="s">
        <v>30</v>
      </c>
    </row>
    <row r="143" spans="1:20" x14ac:dyDescent="0.3">
      <c r="A143" s="4" t="s">
        <v>21</v>
      </c>
      <c r="B143" s="4" t="s">
        <v>49</v>
      </c>
      <c r="C143" s="4" t="s">
        <v>32</v>
      </c>
      <c r="D143" s="5">
        <v>0.05</v>
      </c>
      <c r="E143" s="4" t="s">
        <v>24</v>
      </c>
      <c r="F143" s="4" t="s">
        <v>25</v>
      </c>
      <c r="G143" s="4" t="s">
        <v>26</v>
      </c>
      <c r="H143" s="4" t="s">
        <v>27</v>
      </c>
      <c r="I143" s="6">
        <v>210.77136300000001</v>
      </c>
      <c r="J143" s="7">
        <v>0.01</v>
      </c>
      <c r="K143" s="7">
        <v>9.9999997764825821E-3</v>
      </c>
      <c r="L143" s="4" t="s">
        <v>28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28</v>
      </c>
      <c r="R143" s="8">
        <v>46254.687780462962</v>
      </c>
      <c r="S143" s="4" t="s">
        <v>29</v>
      </c>
      <c r="T143" s="4" t="s">
        <v>30</v>
      </c>
    </row>
    <row r="144" spans="1:20" x14ac:dyDescent="0.3">
      <c r="A144" s="4" t="s">
        <v>21</v>
      </c>
      <c r="B144" s="4" t="s">
        <v>49</v>
      </c>
      <c r="C144" s="4" t="s">
        <v>32</v>
      </c>
      <c r="D144" s="5">
        <v>0.05</v>
      </c>
      <c r="E144" s="4" t="s">
        <v>24</v>
      </c>
      <c r="F144" s="4" t="s">
        <v>25</v>
      </c>
      <c r="G144" s="4" t="s">
        <v>26</v>
      </c>
      <c r="H144" s="4" t="s">
        <v>31</v>
      </c>
      <c r="I144" s="6">
        <v>785172.08078700001</v>
      </c>
      <c r="J144" s="7">
        <v>0.01</v>
      </c>
      <c r="K144" s="7">
        <v>9.9999997764825821E-3</v>
      </c>
      <c r="L144" s="4" t="s">
        <v>28</v>
      </c>
      <c r="M144" s="4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8">
        <v>46254.687780462962</v>
      </c>
      <c r="S144" s="4" t="s">
        <v>29</v>
      </c>
      <c r="T144" s="4" t="s">
        <v>30</v>
      </c>
    </row>
    <row r="145" spans="1:20" x14ac:dyDescent="0.3">
      <c r="A145" s="4" t="s">
        <v>21</v>
      </c>
      <c r="B145" s="4" t="s">
        <v>49</v>
      </c>
      <c r="C145" s="4" t="s">
        <v>32</v>
      </c>
      <c r="D145" s="5">
        <v>0.1</v>
      </c>
      <c r="E145" s="4" t="s">
        <v>24</v>
      </c>
      <c r="F145" s="4" t="s">
        <v>25</v>
      </c>
      <c r="G145" s="4" t="s">
        <v>26</v>
      </c>
      <c r="H145" s="4" t="s">
        <v>27</v>
      </c>
      <c r="I145" s="6">
        <v>192.698342</v>
      </c>
      <c r="J145" s="7">
        <v>0.01</v>
      </c>
      <c r="K145" s="7">
        <v>9.9999997764825821E-3</v>
      </c>
      <c r="L145" s="4" t="s">
        <v>28</v>
      </c>
      <c r="M145" s="4" t="s">
        <v>28</v>
      </c>
      <c r="N145" s="4" t="s">
        <v>28</v>
      </c>
      <c r="O145" s="4" t="s">
        <v>28</v>
      </c>
      <c r="P145" s="4" t="s">
        <v>28</v>
      </c>
      <c r="Q145" s="4" t="s">
        <v>28</v>
      </c>
      <c r="R145" s="8">
        <v>46254.687780462962</v>
      </c>
      <c r="S145" s="4" t="s">
        <v>29</v>
      </c>
      <c r="T145" s="4" t="s">
        <v>30</v>
      </c>
    </row>
    <row r="146" spans="1:20" x14ac:dyDescent="0.3">
      <c r="A146" s="4" t="s">
        <v>21</v>
      </c>
      <c r="B146" s="4" t="s">
        <v>49</v>
      </c>
      <c r="C146" s="4" t="s">
        <v>32</v>
      </c>
      <c r="D146" s="5">
        <v>0.1</v>
      </c>
      <c r="E146" s="4" t="s">
        <v>24</v>
      </c>
      <c r="F146" s="4" t="s">
        <v>25</v>
      </c>
      <c r="G146" s="4" t="s">
        <v>26</v>
      </c>
      <c r="H146" s="4" t="s">
        <v>31</v>
      </c>
      <c r="I146" s="6">
        <v>785154.00776499999</v>
      </c>
      <c r="J146" s="7">
        <v>0.01</v>
      </c>
      <c r="K146" s="7">
        <v>9.9999997764825821E-3</v>
      </c>
      <c r="L146" s="4" t="s">
        <v>28</v>
      </c>
      <c r="M146" s="4" t="s">
        <v>28</v>
      </c>
      <c r="N146" s="4" t="s">
        <v>28</v>
      </c>
      <c r="O146" s="4" t="s">
        <v>28</v>
      </c>
      <c r="P146" s="4" t="s">
        <v>28</v>
      </c>
      <c r="Q146" s="4" t="s">
        <v>28</v>
      </c>
      <c r="R146" s="8">
        <v>46254.687780462962</v>
      </c>
      <c r="S146" s="4" t="s">
        <v>29</v>
      </c>
      <c r="T146" s="4" t="s">
        <v>30</v>
      </c>
    </row>
    <row r="147" spans="1:20" x14ac:dyDescent="0.3">
      <c r="A147" s="4" t="s">
        <v>21</v>
      </c>
      <c r="B147" s="4" t="s">
        <v>50</v>
      </c>
      <c r="C147" s="4" t="s">
        <v>23</v>
      </c>
      <c r="D147" s="5">
        <v>0.05</v>
      </c>
      <c r="E147" s="4" t="s">
        <v>24</v>
      </c>
      <c r="F147" s="4" t="s">
        <v>25</v>
      </c>
      <c r="G147" s="4" t="s">
        <v>26</v>
      </c>
      <c r="H147" s="4" t="s">
        <v>27</v>
      </c>
      <c r="I147" s="6">
        <v>79.6798</v>
      </c>
      <c r="J147" s="7">
        <v>0.01</v>
      </c>
      <c r="K147" s="7">
        <v>9.9999997764825821E-3</v>
      </c>
      <c r="L147" s="4" t="s">
        <v>28</v>
      </c>
      <c r="M147" s="4" t="s">
        <v>28</v>
      </c>
      <c r="N147" s="4" t="s">
        <v>28</v>
      </c>
      <c r="O147" s="4" t="s">
        <v>28</v>
      </c>
      <c r="P147" s="4" t="s">
        <v>28</v>
      </c>
      <c r="Q147" s="4" t="s">
        <v>28</v>
      </c>
      <c r="R147" s="8">
        <v>46254.687780462962</v>
      </c>
      <c r="S147" s="4" t="s">
        <v>29</v>
      </c>
      <c r="T147" s="4" t="s">
        <v>30</v>
      </c>
    </row>
    <row r="148" spans="1:20" x14ac:dyDescent="0.3">
      <c r="A148" s="4" t="s">
        <v>21</v>
      </c>
      <c r="B148" s="4" t="s">
        <v>50</v>
      </c>
      <c r="C148" s="4" t="s">
        <v>23</v>
      </c>
      <c r="D148" s="5">
        <v>0.05</v>
      </c>
      <c r="E148" s="4" t="s">
        <v>24</v>
      </c>
      <c r="F148" s="4" t="s">
        <v>25</v>
      </c>
      <c r="G148" s="4" t="s">
        <v>26</v>
      </c>
      <c r="H148" s="4" t="s">
        <v>31</v>
      </c>
      <c r="I148" s="6">
        <v>678845.208446</v>
      </c>
      <c r="J148" s="7">
        <v>0.01</v>
      </c>
      <c r="K148" s="7">
        <v>9.9999997764825821E-3</v>
      </c>
      <c r="L148" s="4" t="s">
        <v>28</v>
      </c>
      <c r="M148" s="4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8">
        <v>46254.687780462962</v>
      </c>
      <c r="S148" s="4" t="s">
        <v>29</v>
      </c>
      <c r="T148" s="4" t="s">
        <v>30</v>
      </c>
    </row>
    <row r="149" spans="1:20" x14ac:dyDescent="0.3">
      <c r="A149" s="4" t="s">
        <v>21</v>
      </c>
      <c r="B149" s="4" t="s">
        <v>50</v>
      </c>
      <c r="C149" s="4" t="s">
        <v>23</v>
      </c>
      <c r="D149" s="5">
        <v>0.1</v>
      </c>
      <c r="E149" s="4" t="s">
        <v>24</v>
      </c>
      <c r="F149" s="4" t="s">
        <v>25</v>
      </c>
      <c r="G149" s="4" t="s">
        <v>26</v>
      </c>
      <c r="H149" s="4" t="s">
        <v>27</v>
      </c>
      <c r="I149" s="6">
        <v>73.490754999999993</v>
      </c>
      <c r="J149" s="7">
        <v>0.01</v>
      </c>
      <c r="K149" s="7">
        <v>9.9999997764825821E-3</v>
      </c>
      <c r="L149" s="4" t="s">
        <v>28</v>
      </c>
      <c r="M149" s="4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8">
        <v>46254.687780462962</v>
      </c>
      <c r="S149" s="4" t="s">
        <v>29</v>
      </c>
      <c r="T149" s="4" t="s">
        <v>30</v>
      </c>
    </row>
    <row r="150" spans="1:20" x14ac:dyDescent="0.3">
      <c r="A150" s="4" t="s">
        <v>21</v>
      </c>
      <c r="B150" s="4" t="s">
        <v>50</v>
      </c>
      <c r="C150" s="4" t="s">
        <v>23</v>
      </c>
      <c r="D150" s="5">
        <v>0.1</v>
      </c>
      <c r="E150" s="4" t="s">
        <v>24</v>
      </c>
      <c r="F150" s="4" t="s">
        <v>25</v>
      </c>
      <c r="G150" s="4" t="s">
        <v>26</v>
      </c>
      <c r="H150" s="4" t="s">
        <v>31</v>
      </c>
      <c r="I150" s="6">
        <v>678839.01940200001</v>
      </c>
      <c r="J150" s="7">
        <v>0.01</v>
      </c>
      <c r="K150" s="7">
        <v>9.9999997764825821E-3</v>
      </c>
      <c r="L150" s="4" t="s">
        <v>28</v>
      </c>
      <c r="M150" s="4" t="s">
        <v>28</v>
      </c>
      <c r="N150" s="4" t="s">
        <v>28</v>
      </c>
      <c r="O150" s="4" t="s">
        <v>28</v>
      </c>
      <c r="P150" s="4" t="s">
        <v>28</v>
      </c>
      <c r="Q150" s="4" t="s">
        <v>28</v>
      </c>
      <c r="R150" s="8">
        <v>46254.687780462962</v>
      </c>
      <c r="S150" s="4" t="s">
        <v>29</v>
      </c>
      <c r="T150" s="4" t="s">
        <v>30</v>
      </c>
    </row>
    <row r="151" spans="1:20" x14ac:dyDescent="0.3">
      <c r="A151" s="4" t="s">
        <v>21</v>
      </c>
      <c r="B151" s="4" t="s">
        <v>50</v>
      </c>
      <c r="C151" s="4" t="s">
        <v>32</v>
      </c>
      <c r="D151" s="5">
        <v>0.05</v>
      </c>
      <c r="E151" s="4" t="s">
        <v>24</v>
      </c>
      <c r="F151" s="4" t="s">
        <v>25</v>
      </c>
      <c r="G151" s="4" t="s">
        <v>26</v>
      </c>
      <c r="H151" s="4" t="s">
        <v>27</v>
      </c>
      <c r="I151" s="6">
        <v>71.733352999999994</v>
      </c>
      <c r="J151" s="7">
        <v>0.01</v>
      </c>
      <c r="K151" s="7">
        <v>9.9999997764825821E-3</v>
      </c>
      <c r="L151" s="4" t="s">
        <v>28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8">
        <v>46254.687780462962</v>
      </c>
      <c r="S151" s="4" t="s">
        <v>29</v>
      </c>
      <c r="T151" s="4" t="s">
        <v>30</v>
      </c>
    </row>
    <row r="152" spans="1:20" x14ac:dyDescent="0.3">
      <c r="A152" s="4" t="s">
        <v>21</v>
      </c>
      <c r="B152" s="4" t="s">
        <v>50</v>
      </c>
      <c r="C152" s="4" t="s">
        <v>32</v>
      </c>
      <c r="D152" s="5">
        <v>0.05</v>
      </c>
      <c r="E152" s="4" t="s">
        <v>24</v>
      </c>
      <c r="F152" s="4" t="s">
        <v>25</v>
      </c>
      <c r="G152" s="4" t="s">
        <v>26</v>
      </c>
      <c r="H152" s="4" t="s">
        <v>31</v>
      </c>
      <c r="I152" s="6">
        <v>785033.042777</v>
      </c>
      <c r="J152" s="7">
        <v>0.01</v>
      </c>
      <c r="K152" s="7">
        <v>9.9999997764825821E-3</v>
      </c>
      <c r="L152" s="4" t="s">
        <v>28</v>
      </c>
      <c r="M152" s="4" t="s">
        <v>28</v>
      </c>
      <c r="N152" s="4" t="s">
        <v>28</v>
      </c>
      <c r="O152" s="4" t="s">
        <v>28</v>
      </c>
      <c r="P152" s="4" t="s">
        <v>28</v>
      </c>
      <c r="Q152" s="4" t="s">
        <v>28</v>
      </c>
      <c r="R152" s="8">
        <v>46254.687780462962</v>
      </c>
      <c r="S152" s="4" t="s">
        <v>29</v>
      </c>
      <c r="T152" s="4" t="s">
        <v>30</v>
      </c>
    </row>
    <row r="153" spans="1:20" x14ac:dyDescent="0.3">
      <c r="A153" s="4" t="s">
        <v>21</v>
      </c>
      <c r="B153" s="4" t="s">
        <v>50</v>
      </c>
      <c r="C153" s="4" t="s">
        <v>32</v>
      </c>
      <c r="D153" s="5">
        <v>0.1</v>
      </c>
      <c r="E153" s="4" t="s">
        <v>24</v>
      </c>
      <c r="F153" s="4" t="s">
        <v>25</v>
      </c>
      <c r="G153" s="4" t="s">
        <v>26</v>
      </c>
      <c r="H153" s="4" t="s">
        <v>27</v>
      </c>
      <c r="I153" s="6">
        <v>66.240671000000006</v>
      </c>
      <c r="J153" s="7">
        <v>0.01</v>
      </c>
      <c r="K153" s="7">
        <v>9.9999997764825821E-3</v>
      </c>
      <c r="L153" s="4" t="s">
        <v>28</v>
      </c>
      <c r="M153" s="4" t="s">
        <v>28</v>
      </c>
      <c r="N153" s="4" t="s">
        <v>28</v>
      </c>
      <c r="O153" s="4" t="s">
        <v>28</v>
      </c>
      <c r="P153" s="4" t="s">
        <v>28</v>
      </c>
      <c r="Q153" s="4" t="s">
        <v>28</v>
      </c>
      <c r="R153" s="8">
        <v>46254.687780462962</v>
      </c>
      <c r="S153" s="4" t="s">
        <v>29</v>
      </c>
      <c r="T153" s="4" t="s">
        <v>30</v>
      </c>
    </row>
    <row r="154" spans="1:20" x14ac:dyDescent="0.3">
      <c r="A154" s="4" t="s">
        <v>21</v>
      </c>
      <c r="B154" s="4" t="s">
        <v>50</v>
      </c>
      <c r="C154" s="4" t="s">
        <v>32</v>
      </c>
      <c r="D154" s="5">
        <v>0.1</v>
      </c>
      <c r="E154" s="4" t="s">
        <v>24</v>
      </c>
      <c r="F154" s="4" t="s">
        <v>25</v>
      </c>
      <c r="G154" s="4" t="s">
        <v>26</v>
      </c>
      <c r="H154" s="4" t="s">
        <v>31</v>
      </c>
      <c r="I154" s="6">
        <v>785027.55009399995</v>
      </c>
      <c r="J154" s="7">
        <v>0.01</v>
      </c>
      <c r="K154" s="7">
        <v>9.9999997764825821E-3</v>
      </c>
      <c r="L154" s="4" t="s">
        <v>28</v>
      </c>
      <c r="M154" s="4" t="s">
        <v>28</v>
      </c>
      <c r="N154" s="4" t="s">
        <v>28</v>
      </c>
      <c r="O154" s="4" t="s">
        <v>28</v>
      </c>
      <c r="P154" s="4" t="s">
        <v>28</v>
      </c>
      <c r="Q154" s="4" t="s">
        <v>28</v>
      </c>
      <c r="R154" s="8">
        <v>46254.687780462962</v>
      </c>
      <c r="S154" s="4" t="s">
        <v>29</v>
      </c>
      <c r="T154" s="4" t="s">
        <v>30</v>
      </c>
    </row>
    <row r="155" spans="1:20" x14ac:dyDescent="0.3">
      <c r="A155" s="4" t="s">
        <v>21</v>
      </c>
      <c r="B155" s="4" t="s">
        <v>51</v>
      </c>
      <c r="C155" s="4" t="s">
        <v>23</v>
      </c>
      <c r="D155" s="5">
        <v>0.05</v>
      </c>
      <c r="E155" s="4" t="s">
        <v>24</v>
      </c>
      <c r="F155" s="4" t="s">
        <v>25</v>
      </c>
      <c r="G155" s="4" t="s">
        <v>26</v>
      </c>
      <c r="H155" s="4" t="s">
        <v>27</v>
      </c>
      <c r="I155" s="6">
        <v>22.282647000000001</v>
      </c>
      <c r="J155" s="7">
        <v>0.01</v>
      </c>
      <c r="K155" s="7">
        <v>9.9999997764825821E-3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8">
        <v>46254.687780462962</v>
      </c>
      <c r="S155" s="4" t="s">
        <v>29</v>
      </c>
      <c r="T155" s="4" t="s">
        <v>30</v>
      </c>
    </row>
    <row r="156" spans="1:20" x14ac:dyDescent="0.3">
      <c r="A156" s="4" t="s">
        <v>21</v>
      </c>
      <c r="B156" s="4" t="s">
        <v>51</v>
      </c>
      <c r="C156" s="4" t="s">
        <v>23</v>
      </c>
      <c r="D156" s="5">
        <v>0.05</v>
      </c>
      <c r="E156" s="4" t="s">
        <v>24</v>
      </c>
      <c r="F156" s="4" t="s">
        <v>25</v>
      </c>
      <c r="G156" s="4" t="s">
        <v>26</v>
      </c>
      <c r="H156" s="4" t="s">
        <v>31</v>
      </c>
      <c r="I156" s="6">
        <v>678787.81129300001</v>
      </c>
      <c r="J156" s="7">
        <v>0.01</v>
      </c>
      <c r="K156" s="7">
        <v>9.9999997764825821E-3</v>
      </c>
      <c r="L156" s="4" t="s">
        <v>28</v>
      </c>
      <c r="M156" s="4" t="s">
        <v>28</v>
      </c>
      <c r="N156" s="4" t="s">
        <v>28</v>
      </c>
      <c r="O156" s="4" t="s">
        <v>28</v>
      </c>
      <c r="P156" s="4" t="s">
        <v>28</v>
      </c>
      <c r="Q156" s="4" t="s">
        <v>28</v>
      </c>
      <c r="R156" s="8">
        <v>46254.687780462962</v>
      </c>
      <c r="S156" s="4" t="s">
        <v>29</v>
      </c>
      <c r="T156" s="4" t="s">
        <v>30</v>
      </c>
    </row>
    <row r="157" spans="1:20" x14ac:dyDescent="0.3">
      <c r="A157" s="4" t="s">
        <v>21</v>
      </c>
      <c r="B157" s="4" t="s">
        <v>51</v>
      </c>
      <c r="C157" s="4" t="s">
        <v>23</v>
      </c>
      <c r="D157" s="5">
        <v>0.1</v>
      </c>
      <c r="E157" s="4" t="s">
        <v>24</v>
      </c>
      <c r="F157" s="4" t="s">
        <v>25</v>
      </c>
      <c r="G157" s="4" t="s">
        <v>26</v>
      </c>
      <c r="H157" s="4" t="s">
        <v>27</v>
      </c>
      <c r="I157" s="6">
        <v>20.225705000000001</v>
      </c>
      <c r="J157" s="7">
        <v>0.01</v>
      </c>
      <c r="K157" s="7">
        <v>9.9999997764825821E-3</v>
      </c>
      <c r="L157" s="4" t="s">
        <v>28</v>
      </c>
      <c r="M157" s="4" t="s">
        <v>28</v>
      </c>
      <c r="N157" s="4" t="s">
        <v>28</v>
      </c>
      <c r="O157" s="4" t="s">
        <v>28</v>
      </c>
      <c r="P157" s="4" t="s">
        <v>28</v>
      </c>
      <c r="Q157" s="4" t="s">
        <v>28</v>
      </c>
      <c r="R157" s="8">
        <v>46254.687780462962</v>
      </c>
      <c r="S157" s="4" t="s">
        <v>29</v>
      </c>
      <c r="T157" s="4" t="s">
        <v>30</v>
      </c>
    </row>
    <row r="158" spans="1:20" x14ac:dyDescent="0.3">
      <c r="A158" s="4" t="s">
        <v>21</v>
      </c>
      <c r="B158" s="4" t="s">
        <v>51</v>
      </c>
      <c r="C158" s="4" t="s">
        <v>23</v>
      </c>
      <c r="D158" s="5">
        <v>0.1</v>
      </c>
      <c r="E158" s="4" t="s">
        <v>24</v>
      </c>
      <c r="F158" s="4" t="s">
        <v>25</v>
      </c>
      <c r="G158" s="4" t="s">
        <v>26</v>
      </c>
      <c r="H158" s="4" t="s">
        <v>31</v>
      </c>
      <c r="I158" s="6">
        <v>678785.75435199996</v>
      </c>
      <c r="J158" s="7">
        <v>0.01</v>
      </c>
      <c r="K158" s="7">
        <v>9.9999997764825821E-3</v>
      </c>
      <c r="L158" s="4" t="s">
        <v>28</v>
      </c>
      <c r="M158" s="4" t="s">
        <v>28</v>
      </c>
      <c r="N158" s="4" t="s">
        <v>28</v>
      </c>
      <c r="O158" s="4" t="s">
        <v>28</v>
      </c>
      <c r="P158" s="4" t="s">
        <v>28</v>
      </c>
      <c r="Q158" s="4" t="s">
        <v>28</v>
      </c>
      <c r="R158" s="8">
        <v>46254.687780462962</v>
      </c>
      <c r="S158" s="4" t="s">
        <v>29</v>
      </c>
      <c r="T158" s="4" t="s">
        <v>30</v>
      </c>
    </row>
    <row r="159" spans="1:20" x14ac:dyDescent="0.3">
      <c r="A159" s="4" t="s">
        <v>21</v>
      </c>
      <c r="B159" s="4" t="s">
        <v>51</v>
      </c>
      <c r="C159" s="4" t="s">
        <v>32</v>
      </c>
      <c r="D159" s="5">
        <v>0.05</v>
      </c>
      <c r="E159" s="4" t="s">
        <v>24</v>
      </c>
      <c r="F159" s="4" t="s">
        <v>25</v>
      </c>
      <c r="G159" s="4" t="s">
        <v>26</v>
      </c>
      <c r="H159" s="4" t="s">
        <v>27</v>
      </c>
      <c r="I159" s="6">
        <v>20.745884</v>
      </c>
      <c r="J159" s="7">
        <v>0.01</v>
      </c>
      <c r="K159" s="7">
        <v>9.9999997764825821E-3</v>
      </c>
      <c r="L159" s="4" t="s">
        <v>28</v>
      </c>
      <c r="M159" s="4" t="s">
        <v>28</v>
      </c>
      <c r="N159" s="4" t="s">
        <v>28</v>
      </c>
      <c r="O159" s="4" t="s">
        <v>28</v>
      </c>
      <c r="P159" s="4" t="s">
        <v>28</v>
      </c>
      <c r="Q159" s="4" t="s">
        <v>28</v>
      </c>
      <c r="R159" s="8">
        <v>46254.687780462962</v>
      </c>
      <c r="S159" s="4" t="s">
        <v>29</v>
      </c>
      <c r="T159" s="4" t="s">
        <v>30</v>
      </c>
    </row>
    <row r="160" spans="1:20" x14ac:dyDescent="0.3">
      <c r="A160" s="4" t="s">
        <v>21</v>
      </c>
      <c r="B160" s="4" t="s">
        <v>51</v>
      </c>
      <c r="C160" s="4" t="s">
        <v>32</v>
      </c>
      <c r="D160" s="5">
        <v>0.05</v>
      </c>
      <c r="E160" s="4" t="s">
        <v>24</v>
      </c>
      <c r="F160" s="4" t="s">
        <v>25</v>
      </c>
      <c r="G160" s="4" t="s">
        <v>26</v>
      </c>
      <c r="H160" s="4" t="s">
        <v>31</v>
      </c>
      <c r="I160" s="6">
        <v>784982.05530699994</v>
      </c>
      <c r="J160" s="7">
        <v>0.01</v>
      </c>
      <c r="K160" s="7">
        <v>9.9999997764825821E-3</v>
      </c>
      <c r="L160" s="4" t="s">
        <v>28</v>
      </c>
      <c r="M160" s="4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8">
        <v>46254.687780462962</v>
      </c>
      <c r="S160" s="4" t="s">
        <v>29</v>
      </c>
      <c r="T160" s="4" t="s">
        <v>30</v>
      </c>
    </row>
    <row r="161" spans="1:20" x14ac:dyDescent="0.3">
      <c r="A161" s="4" t="s">
        <v>21</v>
      </c>
      <c r="B161" s="4" t="s">
        <v>51</v>
      </c>
      <c r="C161" s="4" t="s">
        <v>32</v>
      </c>
      <c r="D161" s="5">
        <v>0.1</v>
      </c>
      <c r="E161" s="4" t="s">
        <v>24</v>
      </c>
      <c r="F161" s="4" t="s">
        <v>25</v>
      </c>
      <c r="G161" s="4" t="s">
        <v>26</v>
      </c>
      <c r="H161" s="4" t="s">
        <v>27</v>
      </c>
      <c r="I161" s="6">
        <v>18.846747000000001</v>
      </c>
      <c r="J161" s="7">
        <v>0.01</v>
      </c>
      <c r="K161" s="7">
        <v>9.9999997764825821E-3</v>
      </c>
      <c r="L161" s="4" t="s">
        <v>28</v>
      </c>
      <c r="M161" s="4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8">
        <v>46254.687780462962</v>
      </c>
      <c r="S161" s="4" t="s">
        <v>29</v>
      </c>
      <c r="T161" s="4" t="s">
        <v>30</v>
      </c>
    </row>
    <row r="162" spans="1:20" x14ac:dyDescent="0.3">
      <c r="A162" s="4" t="s">
        <v>21</v>
      </c>
      <c r="B162" s="4" t="s">
        <v>51</v>
      </c>
      <c r="C162" s="4" t="s">
        <v>32</v>
      </c>
      <c r="D162" s="5">
        <v>0.1</v>
      </c>
      <c r="E162" s="4" t="s">
        <v>24</v>
      </c>
      <c r="F162" s="4" t="s">
        <v>25</v>
      </c>
      <c r="G162" s="4" t="s">
        <v>26</v>
      </c>
      <c r="H162" s="4" t="s">
        <v>31</v>
      </c>
      <c r="I162" s="6">
        <v>784980.15617099998</v>
      </c>
      <c r="J162" s="7">
        <v>0.01</v>
      </c>
      <c r="K162" s="7">
        <v>9.9999997764825821E-3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8">
        <v>46254.687780462962</v>
      </c>
      <c r="S162" s="4" t="s">
        <v>29</v>
      </c>
      <c r="T162" s="4" t="s">
        <v>30</v>
      </c>
    </row>
    <row r="163" spans="1:20" x14ac:dyDescent="0.3">
      <c r="A163" s="4" t="s">
        <v>21</v>
      </c>
      <c r="B163" s="4" t="s">
        <v>52</v>
      </c>
      <c r="C163" s="4" t="s">
        <v>23</v>
      </c>
      <c r="D163" s="5">
        <v>0.05</v>
      </c>
      <c r="E163" s="4" t="s">
        <v>24</v>
      </c>
      <c r="F163" s="4" t="s">
        <v>25</v>
      </c>
      <c r="G163" s="4" t="s">
        <v>26</v>
      </c>
      <c r="H163" s="4" t="s">
        <v>27</v>
      </c>
      <c r="I163" s="6">
        <v>8.5756390000000007</v>
      </c>
      <c r="J163" s="7">
        <v>0.01</v>
      </c>
      <c r="K163" s="7">
        <v>9.9999997764825821E-3</v>
      </c>
      <c r="L163" s="4" t="s">
        <v>28</v>
      </c>
      <c r="M163" s="4" t="s">
        <v>28</v>
      </c>
      <c r="N163" s="4" t="s">
        <v>28</v>
      </c>
      <c r="O163" s="4" t="s">
        <v>28</v>
      </c>
      <c r="P163" s="4" t="s">
        <v>28</v>
      </c>
      <c r="Q163" s="4" t="s">
        <v>28</v>
      </c>
      <c r="R163" s="8">
        <v>46254.687780462962</v>
      </c>
      <c r="S163" s="4" t="s">
        <v>29</v>
      </c>
      <c r="T163" s="4" t="s">
        <v>30</v>
      </c>
    </row>
    <row r="164" spans="1:20" x14ac:dyDescent="0.3">
      <c r="A164" s="4" t="s">
        <v>21</v>
      </c>
      <c r="B164" s="4" t="s">
        <v>52</v>
      </c>
      <c r="C164" s="4" t="s">
        <v>23</v>
      </c>
      <c r="D164" s="5">
        <v>0.05</v>
      </c>
      <c r="E164" s="4" t="s">
        <v>24</v>
      </c>
      <c r="F164" s="4" t="s">
        <v>25</v>
      </c>
      <c r="G164" s="4" t="s">
        <v>26</v>
      </c>
      <c r="H164" s="4" t="s">
        <v>31</v>
      </c>
      <c r="I164" s="6">
        <v>678774.10428500001</v>
      </c>
      <c r="J164" s="7">
        <v>0.01</v>
      </c>
      <c r="K164" s="7">
        <v>9.9999997764825821E-3</v>
      </c>
      <c r="L164" s="4" t="s">
        <v>28</v>
      </c>
      <c r="M164" s="4" t="s">
        <v>28</v>
      </c>
      <c r="N164" s="4" t="s">
        <v>28</v>
      </c>
      <c r="O164" s="4" t="s">
        <v>28</v>
      </c>
      <c r="P164" s="4" t="s">
        <v>28</v>
      </c>
      <c r="Q164" s="4" t="s">
        <v>28</v>
      </c>
      <c r="R164" s="8">
        <v>46254.687780462962</v>
      </c>
      <c r="S164" s="4" t="s">
        <v>29</v>
      </c>
      <c r="T164" s="4" t="s">
        <v>30</v>
      </c>
    </row>
    <row r="165" spans="1:20" x14ac:dyDescent="0.3">
      <c r="A165" s="4" t="s">
        <v>21</v>
      </c>
      <c r="B165" s="4" t="s">
        <v>52</v>
      </c>
      <c r="C165" s="4" t="s">
        <v>23</v>
      </c>
      <c r="D165" s="5">
        <v>0.1</v>
      </c>
      <c r="E165" s="4" t="s">
        <v>24</v>
      </c>
      <c r="F165" s="4" t="s">
        <v>25</v>
      </c>
      <c r="G165" s="4" t="s">
        <v>26</v>
      </c>
      <c r="H165" s="4" t="s">
        <v>27</v>
      </c>
      <c r="I165" s="6">
        <v>7.7679609999999997</v>
      </c>
      <c r="J165" s="7">
        <v>0.01</v>
      </c>
      <c r="K165" s="7">
        <v>9.9999997764825821E-3</v>
      </c>
      <c r="L165" s="4" t="s">
        <v>28</v>
      </c>
      <c r="M165" s="4" t="s">
        <v>28</v>
      </c>
      <c r="N165" s="4" t="s">
        <v>28</v>
      </c>
      <c r="O165" s="4" t="s">
        <v>28</v>
      </c>
      <c r="P165" s="4" t="s">
        <v>28</v>
      </c>
      <c r="Q165" s="4" t="s">
        <v>28</v>
      </c>
      <c r="R165" s="8">
        <v>46254.687780462962</v>
      </c>
      <c r="S165" s="4" t="s">
        <v>29</v>
      </c>
      <c r="T165" s="4" t="s">
        <v>30</v>
      </c>
    </row>
    <row r="166" spans="1:20" x14ac:dyDescent="0.3">
      <c r="A166" s="4" t="s">
        <v>21</v>
      </c>
      <c r="B166" s="4" t="s">
        <v>52</v>
      </c>
      <c r="C166" s="4" t="s">
        <v>23</v>
      </c>
      <c r="D166" s="5">
        <v>0.1</v>
      </c>
      <c r="E166" s="4" t="s">
        <v>24</v>
      </c>
      <c r="F166" s="4" t="s">
        <v>25</v>
      </c>
      <c r="G166" s="4" t="s">
        <v>26</v>
      </c>
      <c r="H166" s="4" t="s">
        <v>31</v>
      </c>
      <c r="I166" s="6">
        <v>678773.29660700005</v>
      </c>
      <c r="J166" s="7">
        <v>0.01</v>
      </c>
      <c r="K166" s="7">
        <v>9.9999997764825821E-3</v>
      </c>
      <c r="L166" s="4" t="s">
        <v>28</v>
      </c>
      <c r="M166" s="4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8">
        <v>46254.687780462962</v>
      </c>
      <c r="S166" s="4" t="s">
        <v>29</v>
      </c>
      <c r="T166" s="4" t="s">
        <v>30</v>
      </c>
    </row>
    <row r="167" spans="1:20" x14ac:dyDescent="0.3">
      <c r="A167" s="4" t="s">
        <v>21</v>
      </c>
      <c r="B167" s="4" t="s">
        <v>52</v>
      </c>
      <c r="C167" s="4" t="s">
        <v>32</v>
      </c>
      <c r="D167" s="5">
        <v>0.05</v>
      </c>
      <c r="E167" s="4" t="s">
        <v>24</v>
      </c>
      <c r="F167" s="4" t="s">
        <v>25</v>
      </c>
      <c r="G167" s="4" t="s">
        <v>26</v>
      </c>
      <c r="H167" s="4" t="s">
        <v>27</v>
      </c>
      <c r="I167" s="6">
        <v>8.2233330000000002</v>
      </c>
      <c r="J167" s="7">
        <v>0.01</v>
      </c>
      <c r="K167" s="7">
        <v>9.9999997764825821E-3</v>
      </c>
      <c r="L167" s="4" t="s">
        <v>28</v>
      </c>
      <c r="M167" s="4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8">
        <v>46254.687780462962</v>
      </c>
      <c r="S167" s="4" t="s">
        <v>29</v>
      </c>
      <c r="T167" s="4" t="s">
        <v>30</v>
      </c>
    </row>
    <row r="168" spans="1:20" x14ac:dyDescent="0.3">
      <c r="A168" s="4" t="s">
        <v>21</v>
      </c>
      <c r="B168" s="4" t="s">
        <v>52</v>
      </c>
      <c r="C168" s="4" t="s">
        <v>32</v>
      </c>
      <c r="D168" s="5">
        <v>0.05</v>
      </c>
      <c r="E168" s="4" t="s">
        <v>24</v>
      </c>
      <c r="F168" s="4" t="s">
        <v>25</v>
      </c>
      <c r="G168" s="4" t="s">
        <v>26</v>
      </c>
      <c r="H168" s="4" t="s">
        <v>31</v>
      </c>
      <c r="I168" s="6">
        <v>784969.53275599994</v>
      </c>
      <c r="J168" s="7">
        <v>0.01</v>
      </c>
      <c r="K168" s="7">
        <v>9.9999997764825821E-3</v>
      </c>
      <c r="L168" s="4" t="s">
        <v>28</v>
      </c>
      <c r="M168" s="4" t="s">
        <v>28</v>
      </c>
      <c r="N168" s="4" t="s">
        <v>28</v>
      </c>
      <c r="O168" s="4" t="s">
        <v>28</v>
      </c>
      <c r="P168" s="4" t="s">
        <v>28</v>
      </c>
      <c r="Q168" s="4" t="s">
        <v>28</v>
      </c>
      <c r="R168" s="8">
        <v>46254.687780462962</v>
      </c>
      <c r="S168" s="4" t="s">
        <v>29</v>
      </c>
      <c r="T168" s="4" t="s">
        <v>30</v>
      </c>
    </row>
    <row r="169" spans="1:20" x14ac:dyDescent="0.3">
      <c r="A169" s="4" t="s">
        <v>21</v>
      </c>
      <c r="B169" s="4" t="s">
        <v>52</v>
      </c>
      <c r="C169" s="4" t="s">
        <v>32</v>
      </c>
      <c r="D169" s="5">
        <v>0.1</v>
      </c>
      <c r="E169" s="4" t="s">
        <v>24</v>
      </c>
      <c r="F169" s="4" t="s">
        <v>25</v>
      </c>
      <c r="G169" s="4" t="s">
        <v>26</v>
      </c>
      <c r="H169" s="4" t="s">
        <v>27</v>
      </c>
      <c r="I169" s="6">
        <v>7.4516640000000001</v>
      </c>
      <c r="J169" s="7">
        <v>0.01</v>
      </c>
      <c r="K169" s="7">
        <v>9.9999997764825821E-3</v>
      </c>
      <c r="L169" s="4" t="s">
        <v>28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28</v>
      </c>
      <c r="R169" s="8">
        <v>46254.687780474538</v>
      </c>
      <c r="S169" s="4" t="s">
        <v>29</v>
      </c>
      <c r="T169" s="4" t="s">
        <v>30</v>
      </c>
    </row>
    <row r="170" spans="1:20" x14ac:dyDescent="0.3">
      <c r="A170" s="4" t="s">
        <v>21</v>
      </c>
      <c r="B170" s="4" t="s">
        <v>52</v>
      </c>
      <c r="C170" s="4" t="s">
        <v>32</v>
      </c>
      <c r="D170" s="5">
        <v>0.1</v>
      </c>
      <c r="E170" s="4" t="s">
        <v>24</v>
      </c>
      <c r="F170" s="4" t="s">
        <v>25</v>
      </c>
      <c r="G170" s="4" t="s">
        <v>26</v>
      </c>
      <c r="H170" s="4" t="s">
        <v>31</v>
      </c>
      <c r="I170" s="6">
        <v>784968.76108700002</v>
      </c>
      <c r="J170" s="7">
        <v>0.01</v>
      </c>
      <c r="K170" s="7">
        <v>9.9999997764825821E-3</v>
      </c>
      <c r="L170" s="4" t="s">
        <v>28</v>
      </c>
      <c r="M170" s="4" t="s">
        <v>28</v>
      </c>
      <c r="N170" s="4" t="s">
        <v>28</v>
      </c>
      <c r="O170" s="4" t="s">
        <v>28</v>
      </c>
      <c r="P170" s="4" t="s">
        <v>28</v>
      </c>
      <c r="Q170" s="4" t="s">
        <v>28</v>
      </c>
      <c r="R170" s="8">
        <v>46254.687780474538</v>
      </c>
      <c r="S170" s="4" t="s">
        <v>29</v>
      </c>
      <c r="T170" s="4" t="s">
        <v>30</v>
      </c>
    </row>
    <row r="171" spans="1:20" x14ac:dyDescent="0.3">
      <c r="A171" s="4" t="s">
        <v>21</v>
      </c>
      <c r="B171" s="4" t="s">
        <v>53</v>
      </c>
      <c r="C171" s="4" t="s">
        <v>23</v>
      </c>
      <c r="D171" s="5">
        <v>0.05</v>
      </c>
      <c r="E171" s="4" t="s">
        <v>24</v>
      </c>
      <c r="F171" s="4" t="s">
        <v>25</v>
      </c>
      <c r="G171" s="4" t="s">
        <v>26</v>
      </c>
      <c r="H171" s="4" t="s">
        <v>27</v>
      </c>
      <c r="I171" s="6">
        <v>2.1748639999999999</v>
      </c>
      <c r="J171" s="7">
        <v>0.01</v>
      </c>
      <c r="K171" s="7">
        <v>9.9999997764825821E-3</v>
      </c>
      <c r="L171" s="4" t="s">
        <v>28</v>
      </c>
      <c r="M171" s="4" t="s">
        <v>28</v>
      </c>
      <c r="N171" s="4" t="s">
        <v>28</v>
      </c>
      <c r="O171" s="4" t="s">
        <v>28</v>
      </c>
      <c r="P171" s="4" t="s">
        <v>28</v>
      </c>
      <c r="Q171" s="4" t="s">
        <v>28</v>
      </c>
      <c r="R171" s="8">
        <v>46254.687780474538</v>
      </c>
      <c r="S171" s="4" t="s">
        <v>29</v>
      </c>
      <c r="T171" s="4" t="s">
        <v>30</v>
      </c>
    </row>
    <row r="172" spans="1:20" x14ac:dyDescent="0.3">
      <c r="A172" s="4" t="s">
        <v>21</v>
      </c>
      <c r="B172" s="4" t="s">
        <v>53</v>
      </c>
      <c r="C172" s="4" t="s">
        <v>23</v>
      </c>
      <c r="D172" s="5">
        <v>0.05</v>
      </c>
      <c r="E172" s="4" t="s">
        <v>24</v>
      </c>
      <c r="F172" s="4" t="s">
        <v>25</v>
      </c>
      <c r="G172" s="4" t="s">
        <v>26</v>
      </c>
      <c r="H172" s="4" t="s">
        <v>31</v>
      </c>
      <c r="I172" s="6">
        <v>678767.70351100003</v>
      </c>
      <c r="J172" s="7">
        <v>0.01</v>
      </c>
      <c r="K172" s="7">
        <v>9.9999997764825821E-3</v>
      </c>
      <c r="L172" s="4" t="s">
        <v>28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8">
        <v>46254.687780474538</v>
      </c>
      <c r="S172" s="4" t="s">
        <v>29</v>
      </c>
      <c r="T172" s="4" t="s">
        <v>30</v>
      </c>
    </row>
    <row r="173" spans="1:20" x14ac:dyDescent="0.3">
      <c r="A173" s="4" t="s">
        <v>21</v>
      </c>
      <c r="B173" s="4" t="s">
        <v>53</v>
      </c>
      <c r="C173" s="4" t="s">
        <v>23</v>
      </c>
      <c r="D173" s="5">
        <v>0.1</v>
      </c>
      <c r="E173" s="4" t="s">
        <v>24</v>
      </c>
      <c r="F173" s="4" t="s">
        <v>25</v>
      </c>
      <c r="G173" s="4" t="s">
        <v>26</v>
      </c>
      <c r="H173" s="4" t="s">
        <v>27</v>
      </c>
      <c r="I173" s="6">
        <v>1.976893</v>
      </c>
      <c r="J173" s="7">
        <v>0.01</v>
      </c>
      <c r="K173" s="7">
        <v>9.9999997764825821E-3</v>
      </c>
      <c r="L173" s="4" t="s">
        <v>28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8">
        <v>46254.687780474538</v>
      </c>
      <c r="S173" s="4" t="s">
        <v>29</v>
      </c>
      <c r="T173" s="4" t="s">
        <v>30</v>
      </c>
    </row>
    <row r="174" spans="1:20" x14ac:dyDescent="0.3">
      <c r="A174" s="4" t="s">
        <v>21</v>
      </c>
      <c r="B174" s="4" t="s">
        <v>53</v>
      </c>
      <c r="C174" s="4" t="s">
        <v>23</v>
      </c>
      <c r="D174" s="5">
        <v>0.1</v>
      </c>
      <c r="E174" s="4" t="s">
        <v>24</v>
      </c>
      <c r="F174" s="4" t="s">
        <v>25</v>
      </c>
      <c r="G174" s="4" t="s">
        <v>26</v>
      </c>
      <c r="H174" s="4" t="s">
        <v>31</v>
      </c>
      <c r="I174" s="6">
        <v>678767.50554000004</v>
      </c>
      <c r="J174" s="7">
        <v>0.01</v>
      </c>
      <c r="K174" s="7">
        <v>9.9999997764825821E-3</v>
      </c>
      <c r="L174" s="4" t="s">
        <v>28</v>
      </c>
      <c r="M174" s="4" t="s">
        <v>28</v>
      </c>
      <c r="N174" s="4" t="s">
        <v>28</v>
      </c>
      <c r="O174" s="4" t="s">
        <v>28</v>
      </c>
      <c r="P174" s="4" t="s">
        <v>28</v>
      </c>
      <c r="Q174" s="4" t="s">
        <v>28</v>
      </c>
      <c r="R174" s="8">
        <v>46254.687780474538</v>
      </c>
      <c r="S174" s="4" t="s">
        <v>29</v>
      </c>
      <c r="T174" s="4" t="s">
        <v>30</v>
      </c>
    </row>
    <row r="175" spans="1:20" x14ac:dyDescent="0.3">
      <c r="A175" s="4" t="s">
        <v>21</v>
      </c>
      <c r="B175" s="4" t="s">
        <v>53</v>
      </c>
      <c r="C175" s="4" t="s">
        <v>32</v>
      </c>
      <c r="D175" s="5">
        <v>0.05</v>
      </c>
      <c r="E175" s="4" t="s">
        <v>24</v>
      </c>
      <c r="F175" s="4" t="s">
        <v>25</v>
      </c>
      <c r="G175" s="4" t="s">
        <v>26</v>
      </c>
      <c r="H175" s="4" t="s">
        <v>27</v>
      </c>
      <c r="I175" s="6">
        <v>2.1328360000000002</v>
      </c>
      <c r="J175" s="7">
        <v>0.01</v>
      </c>
      <c r="K175" s="7">
        <v>9.9999997764825821E-3</v>
      </c>
      <c r="L175" s="4" t="s">
        <v>28</v>
      </c>
      <c r="M175" s="4" t="s">
        <v>28</v>
      </c>
      <c r="N175" s="4" t="s">
        <v>28</v>
      </c>
      <c r="O175" s="4" t="s">
        <v>28</v>
      </c>
      <c r="P175" s="4" t="s">
        <v>28</v>
      </c>
      <c r="Q175" s="4" t="s">
        <v>28</v>
      </c>
      <c r="R175" s="8">
        <v>46254.687780474538</v>
      </c>
      <c r="S175" s="4" t="s">
        <v>29</v>
      </c>
      <c r="T175" s="4" t="s">
        <v>30</v>
      </c>
    </row>
    <row r="176" spans="1:20" x14ac:dyDescent="0.3">
      <c r="A176" s="4" t="s">
        <v>21</v>
      </c>
      <c r="B176" s="4" t="s">
        <v>53</v>
      </c>
      <c r="C176" s="4" t="s">
        <v>32</v>
      </c>
      <c r="D176" s="5">
        <v>0.05</v>
      </c>
      <c r="E176" s="4" t="s">
        <v>24</v>
      </c>
      <c r="F176" s="4" t="s">
        <v>25</v>
      </c>
      <c r="G176" s="4" t="s">
        <v>26</v>
      </c>
      <c r="H176" s="4" t="s">
        <v>31</v>
      </c>
      <c r="I176" s="6">
        <v>784963.44225900003</v>
      </c>
      <c r="J176" s="7">
        <v>0.01</v>
      </c>
      <c r="K176" s="7">
        <v>9.9999997764825821E-3</v>
      </c>
      <c r="L176" s="4" t="s">
        <v>28</v>
      </c>
      <c r="M176" s="4" t="s">
        <v>28</v>
      </c>
      <c r="N176" s="4" t="s">
        <v>28</v>
      </c>
      <c r="O176" s="4" t="s">
        <v>28</v>
      </c>
      <c r="P176" s="4" t="s">
        <v>28</v>
      </c>
      <c r="Q176" s="4" t="s">
        <v>28</v>
      </c>
      <c r="R176" s="8">
        <v>46254.687780474538</v>
      </c>
      <c r="S176" s="4" t="s">
        <v>29</v>
      </c>
      <c r="T176" s="4" t="s">
        <v>30</v>
      </c>
    </row>
    <row r="177" spans="1:20" x14ac:dyDescent="0.3">
      <c r="A177" s="4" t="s">
        <v>21</v>
      </c>
      <c r="B177" s="4" t="s">
        <v>53</v>
      </c>
      <c r="C177" s="4" t="s">
        <v>32</v>
      </c>
      <c r="D177" s="5">
        <v>0.1</v>
      </c>
      <c r="E177" s="4" t="s">
        <v>24</v>
      </c>
      <c r="F177" s="4" t="s">
        <v>25</v>
      </c>
      <c r="G177" s="4" t="s">
        <v>26</v>
      </c>
      <c r="H177" s="4" t="s">
        <v>27</v>
      </c>
      <c r="I177" s="6">
        <v>1.9387369999999999</v>
      </c>
      <c r="J177" s="7">
        <v>0.01</v>
      </c>
      <c r="K177" s="7">
        <v>9.9999997764825821E-3</v>
      </c>
      <c r="L177" s="4" t="s">
        <v>28</v>
      </c>
      <c r="M177" s="4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8">
        <v>46254.687780474538</v>
      </c>
      <c r="S177" s="4" t="s">
        <v>29</v>
      </c>
      <c r="T177" s="4" t="s">
        <v>30</v>
      </c>
    </row>
    <row r="178" spans="1:20" x14ac:dyDescent="0.3">
      <c r="A178" s="4" t="s">
        <v>21</v>
      </c>
      <c r="B178" s="4" t="s">
        <v>53</v>
      </c>
      <c r="C178" s="4" t="s">
        <v>32</v>
      </c>
      <c r="D178" s="5">
        <v>0.1</v>
      </c>
      <c r="E178" s="4" t="s">
        <v>24</v>
      </c>
      <c r="F178" s="4" t="s">
        <v>25</v>
      </c>
      <c r="G178" s="4" t="s">
        <v>26</v>
      </c>
      <c r="H178" s="4" t="s">
        <v>31</v>
      </c>
      <c r="I178" s="6">
        <v>784963.24816099997</v>
      </c>
      <c r="J178" s="7">
        <v>0.01</v>
      </c>
      <c r="K178" s="7">
        <v>9.9999997764825821E-3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8">
        <v>46254.687780474538</v>
      </c>
      <c r="S178" s="4" t="s">
        <v>29</v>
      </c>
      <c r="T178" s="4" t="s">
        <v>30</v>
      </c>
    </row>
    <row r="179" spans="1:20" x14ac:dyDescent="0.3">
      <c r="A179" s="4" t="s">
        <v>21</v>
      </c>
      <c r="B179" s="4" t="s">
        <v>54</v>
      </c>
      <c r="C179" s="4" t="s">
        <v>23</v>
      </c>
      <c r="D179" s="5">
        <v>0.05</v>
      </c>
      <c r="E179" s="4" t="s">
        <v>24</v>
      </c>
      <c r="F179" s="4" t="s">
        <v>25</v>
      </c>
      <c r="G179" s="4" t="s">
        <v>26</v>
      </c>
      <c r="H179" s="4" t="s">
        <v>27</v>
      </c>
      <c r="I179" s="6">
        <v>2719.1717159999998</v>
      </c>
      <c r="J179" s="7">
        <v>0.01</v>
      </c>
      <c r="K179" s="7">
        <v>9.9999997764825821E-3</v>
      </c>
      <c r="L179" s="4" t="s">
        <v>28</v>
      </c>
      <c r="M179" s="4" t="s">
        <v>28</v>
      </c>
      <c r="N179" s="4" t="s">
        <v>28</v>
      </c>
      <c r="O179" s="4" t="s">
        <v>28</v>
      </c>
      <c r="P179" s="4" t="s">
        <v>28</v>
      </c>
      <c r="Q179" s="4" t="s">
        <v>28</v>
      </c>
      <c r="R179" s="8">
        <v>46254.772531828698</v>
      </c>
      <c r="S179" s="4" t="s">
        <v>29</v>
      </c>
      <c r="T179" s="4" t="s">
        <v>30</v>
      </c>
    </row>
    <row r="180" spans="1:20" x14ac:dyDescent="0.3">
      <c r="A180" s="4" t="s">
        <v>21</v>
      </c>
      <c r="B180" s="4" t="s">
        <v>54</v>
      </c>
      <c r="C180" s="4" t="s">
        <v>23</v>
      </c>
      <c r="D180" s="5">
        <v>0.05</v>
      </c>
      <c r="E180" s="4" t="s">
        <v>24</v>
      </c>
      <c r="F180" s="4" t="s">
        <v>25</v>
      </c>
      <c r="G180" s="4" t="s">
        <v>26</v>
      </c>
      <c r="H180" s="4" t="s">
        <v>31</v>
      </c>
      <c r="I180" s="6">
        <v>681237.47306500003</v>
      </c>
      <c r="J180" s="7">
        <v>0.01</v>
      </c>
      <c r="K180" s="7">
        <v>9.9999997764825821E-3</v>
      </c>
      <c r="L180" s="4" t="s">
        <v>28</v>
      </c>
      <c r="M180" s="4" t="s">
        <v>28</v>
      </c>
      <c r="N180" s="4" t="s">
        <v>28</v>
      </c>
      <c r="O180" s="4" t="s">
        <v>28</v>
      </c>
      <c r="P180" s="4" t="s">
        <v>28</v>
      </c>
      <c r="Q180" s="4" t="s">
        <v>28</v>
      </c>
      <c r="R180" s="8">
        <v>46254.772531828698</v>
      </c>
      <c r="S180" s="4" t="s">
        <v>29</v>
      </c>
      <c r="T180" s="4" t="s">
        <v>30</v>
      </c>
    </row>
    <row r="181" spans="1:20" x14ac:dyDescent="0.3">
      <c r="A181" s="4" t="s">
        <v>21</v>
      </c>
      <c r="B181" s="4" t="s">
        <v>54</v>
      </c>
      <c r="C181" s="4" t="s">
        <v>23</v>
      </c>
      <c r="D181" s="5">
        <v>0.1</v>
      </c>
      <c r="E181" s="4" t="s">
        <v>24</v>
      </c>
      <c r="F181" s="4" t="s">
        <v>25</v>
      </c>
      <c r="G181" s="4" t="s">
        <v>26</v>
      </c>
      <c r="H181" s="4" t="s">
        <v>27</v>
      </c>
      <c r="I181" s="6">
        <v>2103.2923959999998</v>
      </c>
      <c r="J181" s="7">
        <v>0.01</v>
      </c>
      <c r="K181" s="7">
        <v>9.9999997764825821E-3</v>
      </c>
      <c r="L181" s="4" t="s">
        <v>28</v>
      </c>
      <c r="M181" s="4" t="s">
        <v>28</v>
      </c>
      <c r="N181" s="4" t="s">
        <v>28</v>
      </c>
      <c r="O181" s="4" t="s">
        <v>28</v>
      </c>
      <c r="P181" s="4" t="s">
        <v>28</v>
      </c>
      <c r="Q181" s="4" t="s">
        <v>28</v>
      </c>
      <c r="R181" s="8">
        <v>46254.772532314812</v>
      </c>
      <c r="S181" s="4" t="s">
        <v>29</v>
      </c>
      <c r="T181" s="4" t="s">
        <v>30</v>
      </c>
    </row>
    <row r="182" spans="1:20" x14ac:dyDescent="0.3">
      <c r="A182" s="4" t="s">
        <v>21</v>
      </c>
      <c r="B182" s="4" t="s">
        <v>54</v>
      </c>
      <c r="C182" s="4" t="s">
        <v>23</v>
      </c>
      <c r="D182" s="5">
        <v>0.1</v>
      </c>
      <c r="E182" s="4" t="s">
        <v>24</v>
      </c>
      <c r="F182" s="4" t="s">
        <v>25</v>
      </c>
      <c r="G182" s="4" t="s">
        <v>26</v>
      </c>
      <c r="H182" s="4" t="s">
        <v>31</v>
      </c>
      <c r="I182" s="6">
        <v>680621.59374499996</v>
      </c>
      <c r="J182" s="7">
        <v>0.01</v>
      </c>
      <c r="K182" s="7">
        <v>9.9999997764825821E-3</v>
      </c>
      <c r="L182" s="4" t="s">
        <v>28</v>
      </c>
      <c r="M182" s="4" t="s">
        <v>28</v>
      </c>
      <c r="N182" s="4" t="s">
        <v>28</v>
      </c>
      <c r="O182" s="4" t="s">
        <v>28</v>
      </c>
      <c r="P182" s="4" t="s">
        <v>28</v>
      </c>
      <c r="Q182" s="4" t="s">
        <v>28</v>
      </c>
      <c r="R182" s="8">
        <v>46254.772532314812</v>
      </c>
      <c r="S182" s="4" t="s">
        <v>29</v>
      </c>
      <c r="T182" s="4" t="s">
        <v>30</v>
      </c>
    </row>
    <row r="183" spans="1:20" x14ac:dyDescent="0.3">
      <c r="A183" s="4" t="s">
        <v>21</v>
      </c>
      <c r="B183" s="4" t="s">
        <v>54</v>
      </c>
      <c r="C183" s="4" t="s">
        <v>32</v>
      </c>
      <c r="D183" s="5">
        <v>0.05</v>
      </c>
      <c r="E183" s="4" t="s">
        <v>24</v>
      </c>
      <c r="F183" s="4" t="s">
        <v>25</v>
      </c>
      <c r="G183" s="4" t="s">
        <v>26</v>
      </c>
      <c r="H183" s="4" t="s">
        <v>27</v>
      </c>
      <c r="I183" s="6">
        <v>2325.5676880000001</v>
      </c>
      <c r="J183" s="7">
        <v>0.01</v>
      </c>
      <c r="K183" s="7">
        <v>9.9999997764825821E-3</v>
      </c>
      <c r="L183" s="4" t="s">
        <v>28</v>
      </c>
      <c r="M183" s="4" t="s">
        <v>28</v>
      </c>
      <c r="N183" s="4" t="s">
        <v>28</v>
      </c>
      <c r="O183" s="4" t="s">
        <v>28</v>
      </c>
      <c r="P183" s="4" t="s">
        <v>28</v>
      </c>
      <c r="Q183" s="4" t="s">
        <v>28</v>
      </c>
      <c r="R183" s="8">
        <v>46254.772532766197</v>
      </c>
      <c r="S183" s="4" t="s">
        <v>29</v>
      </c>
      <c r="T183" s="4" t="s">
        <v>30</v>
      </c>
    </row>
    <row r="184" spans="1:20" x14ac:dyDescent="0.3">
      <c r="A184" s="4" t="s">
        <v>21</v>
      </c>
      <c r="B184" s="4" t="s">
        <v>54</v>
      </c>
      <c r="C184" s="4" t="s">
        <v>32</v>
      </c>
      <c r="D184" s="5">
        <v>0.05</v>
      </c>
      <c r="E184" s="4" t="s">
        <v>24</v>
      </c>
      <c r="F184" s="4" t="s">
        <v>25</v>
      </c>
      <c r="G184" s="4" t="s">
        <v>26</v>
      </c>
      <c r="H184" s="4" t="s">
        <v>31</v>
      </c>
      <c r="I184" s="6">
        <v>787090.76053199999</v>
      </c>
      <c r="J184" s="7">
        <v>0.01</v>
      </c>
      <c r="K184" s="7">
        <v>9.9999997764825821E-3</v>
      </c>
      <c r="L184" s="4" t="s">
        <v>28</v>
      </c>
      <c r="M184" s="4" t="s">
        <v>28</v>
      </c>
      <c r="N184" s="4" t="s">
        <v>28</v>
      </c>
      <c r="O184" s="4" t="s">
        <v>28</v>
      </c>
      <c r="P184" s="4" t="s">
        <v>28</v>
      </c>
      <c r="Q184" s="4" t="s">
        <v>28</v>
      </c>
      <c r="R184" s="8">
        <v>46254.772532766197</v>
      </c>
      <c r="S184" s="4" t="s">
        <v>29</v>
      </c>
      <c r="T184" s="4" t="s">
        <v>30</v>
      </c>
    </row>
    <row r="185" spans="1:20" x14ac:dyDescent="0.3">
      <c r="A185" s="4" t="s">
        <v>21</v>
      </c>
      <c r="B185" s="4" t="s">
        <v>54</v>
      </c>
      <c r="C185" s="4" t="s">
        <v>32</v>
      </c>
      <c r="D185" s="5">
        <v>0.1</v>
      </c>
      <c r="E185" s="4" t="s">
        <v>24</v>
      </c>
      <c r="F185" s="4" t="s">
        <v>25</v>
      </c>
      <c r="G185" s="4" t="s">
        <v>26</v>
      </c>
      <c r="H185" s="4" t="s">
        <v>27</v>
      </c>
      <c r="I185" s="6">
        <v>1826.295891</v>
      </c>
      <c r="J185" s="7">
        <v>0.01</v>
      </c>
      <c r="K185" s="7">
        <v>9.9999997764825821E-3</v>
      </c>
      <c r="L185" s="4" t="s">
        <v>28</v>
      </c>
      <c r="M185" s="4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8">
        <v>46254.772533275464</v>
      </c>
      <c r="S185" s="4" t="s">
        <v>29</v>
      </c>
      <c r="T185" s="4" t="s">
        <v>30</v>
      </c>
    </row>
    <row r="186" spans="1:20" x14ac:dyDescent="0.3">
      <c r="A186" s="4" t="s">
        <v>21</v>
      </c>
      <c r="B186" s="4" t="s">
        <v>54</v>
      </c>
      <c r="C186" s="4" t="s">
        <v>32</v>
      </c>
      <c r="D186" s="5">
        <v>0.1</v>
      </c>
      <c r="E186" s="4" t="s">
        <v>24</v>
      </c>
      <c r="F186" s="4" t="s">
        <v>25</v>
      </c>
      <c r="G186" s="4" t="s">
        <v>26</v>
      </c>
      <c r="H186" s="4" t="s">
        <v>31</v>
      </c>
      <c r="I186" s="6">
        <v>786591.48873500002</v>
      </c>
      <c r="J186" s="7">
        <v>0.01</v>
      </c>
      <c r="K186" s="7">
        <v>9.9999997764825821E-3</v>
      </c>
      <c r="L186" s="4" t="s">
        <v>28</v>
      </c>
      <c r="M186" s="4" t="s">
        <v>28</v>
      </c>
      <c r="N186" s="4" t="s">
        <v>28</v>
      </c>
      <c r="O186" s="4" t="s">
        <v>28</v>
      </c>
      <c r="P186" s="4" t="s">
        <v>28</v>
      </c>
      <c r="Q186" s="4" t="s">
        <v>28</v>
      </c>
      <c r="R186" s="8">
        <v>46254.772533275464</v>
      </c>
      <c r="S186" s="4" t="s">
        <v>29</v>
      </c>
      <c r="T186" s="4" t="s">
        <v>30</v>
      </c>
    </row>
    <row r="187" spans="1:20" x14ac:dyDescent="0.3">
      <c r="A187" s="4" t="s">
        <v>21</v>
      </c>
      <c r="B187" s="4" t="s">
        <v>55</v>
      </c>
      <c r="C187" s="4" t="s">
        <v>23</v>
      </c>
      <c r="D187" s="5">
        <v>0.05</v>
      </c>
      <c r="E187" s="4" t="s">
        <v>24</v>
      </c>
      <c r="F187" s="4" t="s">
        <v>25</v>
      </c>
      <c r="G187" s="4" t="s">
        <v>26</v>
      </c>
      <c r="H187" s="4" t="s">
        <v>27</v>
      </c>
      <c r="I187" s="6">
        <v>2427.2672870000001</v>
      </c>
      <c r="J187" s="7">
        <v>0.01</v>
      </c>
      <c r="K187" s="7">
        <v>9.9999997764825821E-3</v>
      </c>
      <c r="L187" s="4" t="s">
        <v>28</v>
      </c>
      <c r="M187" s="4" t="s">
        <v>28</v>
      </c>
      <c r="N187" s="4" t="s">
        <v>28</v>
      </c>
      <c r="O187" s="4" t="s">
        <v>28</v>
      </c>
      <c r="P187" s="4" t="s">
        <v>28</v>
      </c>
      <c r="Q187" s="4" t="s">
        <v>28</v>
      </c>
      <c r="R187" s="8">
        <v>46254.77349832176</v>
      </c>
      <c r="S187" s="4" t="s">
        <v>29</v>
      </c>
      <c r="T187" s="4" t="s">
        <v>30</v>
      </c>
    </row>
    <row r="188" spans="1:20" x14ac:dyDescent="0.3">
      <c r="A188" s="4" t="s">
        <v>21</v>
      </c>
      <c r="B188" s="4" t="s">
        <v>55</v>
      </c>
      <c r="C188" s="4" t="s">
        <v>23</v>
      </c>
      <c r="D188" s="5">
        <v>0.05</v>
      </c>
      <c r="E188" s="4" t="s">
        <v>24</v>
      </c>
      <c r="F188" s="4" t="s">
        <v>25</v>
      </c>
      <c r="G188" s="4" t="s">
        <v>26</v>
      </c>
      <c r="H188" s="4" t="s">
        <v>31</v>
      </c>
      <c r="I188" s="6">
        <v>680945.56863700005</v>
      </c>
      <c r="J188" s="7">
        <v>0.01</v>
      </c>
      <c r="K188" s="7">
        <v>9.9999997764825821E-3</v>
      </c>
      <c r="L188" s="4" t="s">
        <v>28</v>
      </c>
      <c r="M188" s="4" t="s">
        <v>28</v>
      </c>
      <c r="N188" s="4" t="s">
        <v>28</v>
      </c>
      <c r="O188" s="4" t="s">
        <v>28</v>
      </c>
      <c r="P188" s="4" t="s">
        <v>28</v>
      </c>
      <c r="Q188" s="4" t="s">
        <v>28</v>
      </c>
      <c r="R188" s="8">
        <v>46254.77349832176</v>
      </c>
      <c r="S188" s="4" t="s">
        <v>29</v>
      </c>
      <c r="T188" s="4" t="s">
        <v>30</v>
      </c>
    </row>
    <row r="189" spans="1:20" x14ac:dyDescent="0.3">
      <c r="A189" s="4" t="s">
        <v>21</v>
      </c>
      <c r="B189" s="4" t="s">
        <v>55</v>
      </c>
      <c r="C189" s="4" t="s">
        <v>23</v>
      </c>
      <c r="D189" s="5">
        <v>0.1</v>
      </c>
      <c r="E189" s="4" t="s">
        <v>24</v>
      </c>
      <c r="F189" s="4" t="s">
        <v>25</v>
      </c>
      <c r="G189" s="4" t="s">
        <v>26</v>
      </c>
      <c r="H189" s="4" t="s">
        <v>27</v>
      </c>
      <c r="I189" s="6">
        <v>1959.0214639999999</v>
      </c>
      <c r="J189" s="7">
        <v>0.01</v>
      </c>
      <c r="K189" s="7">
        <v>9.9999997764825821E-3</v>
      </c>
      <c r="L189" s="4" t="s">
        <v>28</v>
      </c>
      <c r="M189" s="4" t="s">
        <v>28</v>
      </c>
      <c r="N189" s="4" t="s">
        <v>28</v>
      </c>
      <c r="O189" s="4" t="s">
        <v>28</v>
      </c>
      <c r="P189" s="4" t="s">
        <v>28</v>
      </c>
      <c r="Q189" s="4" t="s">
        <v>28</v>
      </c>
      <c r="R189" s="8">
        <v>46254.773498831019</v>
      </c>
      <c r="S189" s="4" t="s">
        <v>29</v>
      </c>
      <c r="T189" s="4" t="s">
        <v>30</v>
      </c>
    </row>
    <row r="190" spans="1:20" x14ac:dyDescent="0.3">
      <c r="A190" s="4" t="s">
        <v>21</v>
      </c>
      <c r="B190" s="4" t="s">
        <v>55</v>
      </c>
      <c r="C190" s="4" t="s">
        <v>23</v>
      </c>
      <c r="D190" s="5">
        <v>0.1</v>
      </c>
      <c r="E190" s="4" t="s">
        <v>24</v>
      </c>
      <c r="F190" s="4" t="s">
        <v>25</v>
      </c>
      <c r="G190" s="4" t="s">
        <v>26</v>
      </c>
      <c r="H190" s="4" t="s">
        <v>31</v>
      </c>
      <c r="I190" s="6">
        <v>680477.32281299995</v>
      </c>
      <c r="J190" s="7">
        <v>0.01</v>
      </c>
      <c r="K190" s="7">
        <v>9.9999997764825821E-3</v>
      </c>
      <c r="L190" s="4" t="s">
        <v>28</v>
      </c>
      <c r="M190" s="4" t="s">
        <v>28</v>
      </c>
      <c r="N190" s="4" t="s">
        <v>28</v>
      </c>
      <c r="O190" s="4" t="s">
        <v>28</v>
      </c>
      <c r="P190" s="4" t="s">
        <v>28</v>
      </c>
      <c r="Q190" s="4" t="s">
        <v>28</v>
      </c>
      <c r="R190" s="8">
        <v>46254.773498831019</v>
      </c>
      <c r="S190" s="4" t="s">
        <v>29</v>
      </c>
      <c r="T190" s="4" t="s">
        <v>30</v>
      </c>
    </row>
    <row r="191" spans="1:20" x14ac:dyDescent="0.3">
      <c r="A191" s="4" t="s">
        <v>21</v>
      </c>
      <c r="B191" s="4" t="s">
        <v>55</v>
      </c>
      <c r="C191" s="4" t="s">
        <v>32</v>
      </c>
      <c r="D191" s="5">
        <v>0.05</v>
      </c>
      <c r="E191" s="4" t="s">
        <v>24</v>
      </c>
      <c r="F191" s="4" t="s">
        <v>25</v>
      </c>
      <c r="G191" s="4" t="s">
        <v>26</v>
      </c>
      <c r="H191" s="4" t="s">
        <v>27</v>
      </c>
      <c r="I191" s="6">
        <v>2038.962745</v>
      </c>
      <c r="J191" s="7">
        <v>0.01</v>
      </c>
      <c r="K191" s="7">
        <v>9.9999997764825821E-3</v>
      </c>
      <c r="L191" s="4" t="s">
        <v>28</v>
      </c>
      <c r="M191" s="4" t="s">
        <v>28</v>
      </c>
      <c r="N191" s="4" t="s">
        <v>28</v>
      </c>
      <c r="O191" s="4" t="s">
        <v>28</v>
      </c>
      <c r="P191" s="4" t="s">
        <v>28</v>
      </c>
      <c r="Q191" s="4" t="s">
        <v>28</v>
      </c>
      <c r="R191" s="8">
        <v>46254.773499282397</v>
      </c>
      <c r="S191" s="4" t="s">
        <v>29</v>
      </c>
      <c r="T191" s="4" t="s">
        <v>30</v>
      </c>
    </row>
    <row r="192" spans="1:20" x14ac:dyDescent="0.3">
      <c r="A192" s="4" t="s">
        <v>21</v>
      </c>
      <c r="B192" s="4" t="s">
        <v>55</v>
      </c>
      <c r="C192" s="4" t="s">
        <v>32</v>
      </c>
      <c r="D192" s="5">
        <v>0.05</v>
      </c>
      <c r="E192" s="4" t="s">
        <v>24</v>
      </c>
      <c r="F192" s="4" t="s">
        <v>25</v>
      </c>
      <c r="G192" s="4" t="s">
        <v>26</v>
      </c>
      <c r="H192" s="4" t="s">
        <v>31</v>
      </c>
      <c r="I192" s="6">
        <v>786804.15558899997</v>
      </c>
      <c r="J192" s="7">
        <v>0.01</v>
      </c>
      <c r="K192" s="7">
        <v>9.9999997764825821E-3</v>
      </c>
      <c r="L192" s="4" t="s">
        <v>28</v>
      </c>
      <c r="M192" s="4" t="s">
        <v>28</v>
      </c>
      <c r="N192" s="4" t="s">
        <v>28</v>
      </c>
      <c r="O192" s="4" t="s">
        <v>28</v>
      </c>
      <c r="P192" s="4" t="s">
        <v>28</v>
      </c>
      <c r="Q192" s="4" t="s">
        <v>28</v>
      </c>
      <c r="R192" s="8">
        <v>46254.773499282397</v>
      </c>
      <c r="S192" s="4" t="s">
        <v>29</v>
      </c>
      <c r="T192" s="4" t="s">
        <v>30</v>
      </c>
    </row>
    <row r="193" spans="1:20" x14ac:dyDescent="0.3">
      <c r="A193" s="4" t="s">
        <v>21</v>
      </c>
      <c r="B193" s="4" t="s">
        <v>55</v>
      </c>
      <c r="C193" s="4" t="s">
        <v>32</v>
      </c>
      <c r="D193" s="5">
        <v>0.1</v>
      </c>
      <c r="E193" s="4" t="s">
        <v>24</v>
      </c>
      <c r="F193" s="4" t="s">
        <v>25</v>
      </c>
      <c r="G193" s="4" t="s">
        <v>26</v>
      </c>
      <c r="H193" s="4" t="s">
        <v>27</v>
      </c>
      <c r="I193" s="6">
        <v>1661.6626920000001</v>
      </c>
      <c r="J193" s="7">
        <v>0.01</v>
      </c>
      <c r="K193" s="7">
        <v>9.9999997764825821E-3</v>
      </c>
      <c r="L193" s="4" t="s">
        <v>28</v>
      </c>
      <c r="M193" s="4" t="s">
        <v>28</v>
      </c>
      <c r="N193" s="4" t="s">
        <v>28</v>
      </c>
      <c r="O193" s="4" t="s">
        <v>28</v>
      </c>
      <c r="P193" s="4" t="s">
        <v>28</v>
      </c>
      <c r="Q193" s="4" t="s">
        <v>28</v>
      </c>
      <c r="R193" s="8">
        <v>46254.773499710653</v>
      </c>
      <c r="S193" s="4" t="s">
        <v>29</v>
      </c>
      <c r="T193" s="4" t="s">
        <v>30</v>
      </c>
    </row>
    <row r="194" spans="1:20" x14ac:dyDescent="0.3">
      <c r="A194" s="4" t="s">
        <v>21</v>
      </c>
      <c r="B194" s="4" t="s">
        <v>55</v>
      </c>
      <c r="C194" s="4" t="s">
        <v>32</v>
      </c>
      <c r="D194" s="5">
        <v>0.1</v>
      </c>
      <c r="E194" s="4" t="s">
        <v>24</v>
      </c>
      <c r="F194" s="4" t="s">
        <v>25</v>
      </c>
      <c r="G194" s="4" t="s">
        <v>26</v>
      </c>
      <c r="H194" s="4" t="s">
        <v>31</v>
      </c>
      <c r="I194" s="6">
        <v>786426.85553599999</v>
      </c>
      <c r="J194" s="7">
        <v>0.01</v>
      </c>
      <c r="K194" s="7">
        <v>9.9999997764825821E-3</v>
      </c>
      <c r="L194" s="4" t="s">
        <v>28</v>
      </c>
      <c r="M194" s="4" t="s">
        <v>28</v>
      </c>
      <c r="N194" s="4" t="s">
        <v>28</v>
      </c>
      <c r="O194" s="4" t="s">
        <v>28</v>
      </c>
      <c r="P194" s="4" t="s">
        <v>28</v>
      </c>
      <c r="Q194" s="4" t="s">
        <v>28</v>
      </c>
      <c r="R194" s="8">
        <v>46254.773499710653</v>
      </c>
      <c r="S194" s="4" t="s">
        <v>29</v>
      </c>
      <c r="T194" s="4" t="s">
        <v>30</v>
      </c>
    </row>
    <row r="195" spans="1:20" x14ac:dyDescent="0.3">
      <c r="A195" s="4" t="s">
        <v>21</v>
      </c>
      <c r="B195" s="4" t="s">
        <v>56</v>
      </c>
      <c r="C195" s="4" t="s">
        <v>23</v>
      </c>
      <c r="D195" s="5">
        <v>0.05</v>
      </c>
      <c r="E195" s="4" t="s">
        <v>24</v>
      </c>
      <c r="F195" s="4" t="s">
        <v>25</v>
      </c>
      <c r="G195" s="4" t="s">
        <v>26</v>
      </c>
      <c r="H195" s="4" t="s">
        <v>27</v>
      </c>
      <c r="I195" s="6">
        <v>1612.4727780000001</v>
      </c>
      <c r="J195" s="7">
        <v>0.01</v>
      </c>
      <c r="K195" s="7">
        <v>9.9999997764825821E-3</v>
      </c>
      <c r="L195" s="4" t="s">
        <v>28</v>
      </c>
      <c r="M195" s="4" t="s">
        <v>28</v>
      </c>
      <c r="N195" s="4" t="s">
        <v>28</v>
      </c>
      <c r="O195" s="4" t="s">
        <v>28</v>
      </c>
      <c r="P195" s="4" t="s">
        <v>28</v>
      </c>
      <c r="Q195" s="4" t="s">
        <v>28</v>
      </c>
      <c r="R195" s="8">
        <v>46254.773702523147</v>
      </c>
      <c r="S195" s="4" t="s">
        <v>29</v>
      </c>
      <c r="T195" s="4" t="s">
        <v>30</v>
      </c>
    </row>
    <row r="196" spans="1:20" x14ac:dyDescent="0.3">
      <c r="A196" s="4" t="s">
        <v>21</v>
      </c>
      <c r="B196" s="4" t="s">
        <v>56</v>
      </c>
      <c r="C196" s="4" t="s">
        <v>23</v>
      </c>
      <c r="D196" s="5">
        <v>0.05</v>
      </c>
      <c r="E196" s="4" t="s">
        <v>24</v>
      </c>
      <c r="F196" s="4" t="s">
        <v>25</v>
      </c>
      <c r="G196" s="4" t="s">
        <v>26</v>
      </c>
      <c r="H196" s="4" t="s">
        <v>31</v>
      </c>
      <c r="I196" s="6">
        <v>680130.77412700001</v>
      </c>
      <c r="J196" s="7">
        <v>0.01</v>
      </c>
      <c r="K196" s="7">
        <v>9.9999997764825821E-3</v>
      </c>
      <c r="L196" s="4" t="s">
        <v>28</v>
      </c>
      <c r="M196" s="4" t="s">
        <v>28</v>
      </c>
      <c r="N196" s="4" t="s">
        <v>28</v>
      </c>
      <c r="O196" s="4" t="s">
        <v>28</v>
      </c>
      <c r="P196" s="4" t="s">
        <v>28</v>
      </c>
      <c r="Q196" s="4" t="s">
        <v>28</v>
      </c>
      <c r="R196" s="8">
        <v>46254.773702523147</v>
      </c>
      <c r="S196" s="4" t="s">
        <v>29</v>
      </c>
      <c r="T196" s="4" t="s">
        <v>30</v>
      </c>
    </row>
    <row r="197" spans="1:20" x14ac:dyDescent="0.3">
      <c r="A197" s="4" t="s">
        <v>21</v>
      </c>
      <c r="B197" s="4" t="s">
        <v>56</v>
      </c>
      <c r="C197" s="4" t="s">
        <v>23</v>
      </c>
      <c r="D197" s="5">
        <v>0.1</v>
      </c>
      <c r="E197" s="4" t="s">
        <v>24</v>
      </c>
      <c r="F197" s="4" t="s">
        <v>25</v>
      </c>
      <c r="G197" s="4" t="s">
        <v>26</v>
      </c>
      <c r="H197" s="4" t="s">
        <v>27</v>
      </c>
      <c r="I197" s="6">
        <v>1376.7772809999999</v>
      </c>
      <c r="J197" s="7">
        <v>0.01</v>
      </c>
      <c r="K197" s="7">
        <v>9.9999997764825821E-3</v>
      </c>
      <c r="L197" s="4" t="s">
        <v>28</v>
      </c>
      <c r="M197" s="4" t="s">
        <v>28</v>
      </c>
      <c r="N197" s="4" t="s">
        <v>28</v>
      </c>
      <c r="O197" s="4" t="s">
        <v>28</v>
      </c>
      <c r="P197" s="4" t="s">
        <v>28</v>
      </c>
      <c r="Q197" s="4" t="s">
        <v>28</v>
      </c>
      <c r="R197" s="8">
        <v>46254.773728692133</v>
      </c>
      <c r="S197" s="4" t="s">
        <v>29</v>
      </c>
      <c r="T197" s="4" t="s">
        <v>30</v>
      </c>
    </row>
    <row r="198" spans="1:20" x14ac:dyDescent="0.3">
      <c r="A198" s="4" t="s">
        <v>21</v>
      </c>
      <c r="B198" s="4" t="s">
        <v>56</v>
      </c>
      <c r="C198" s="4" t="s">
        <v>23</v>
      </c>
      <c r="D198" s="5">
        <v>0.1</v>
      </c>
      <c r="E198" s="4" t="s">
        <v>24</v>
      </c>
      <c r="F198" s="4" t="s">
        <v>25</v>
      </c>
      <c r="G198" s="4" t="s">
        <v>26</v>
      </c>
      <c r="H198" s="4" t="s">
        <v>31</v>
      </c>
      <c r="I198" s="6">
        <v>679895.07863</v>
      </c>
      <c r="J198" s="7">
        <v>0.01</v>
      </c>
      <c r="K198" s="7">
        <v>9.9999997764825821E-3</v>
      </c>
      <c r="L198" s="4" t="s">
        <v>28</v>
      </c>
      <c r="M198" s="4" t="s">
        <v>28</v>
      </c>
      <c r="N198" s="4" t="s">
        <v>28</v>
      </c>
      <c r="O198" s="4" t="s">
        <v>28</v>
      </c>
      <c r="P198" s="4" t="s">
        <v>28</v>
      </c>
      <c r="Q198" s="4" t="s">
        <v>28</v>
      </c>
      <c r="R198" s="8">
        <v>46254.773728692133</v>
      </c>
      <c r="S198" s="4" t="s">
        <v>29</v>
      </c>
      <c r="T198" s="4" t="s">
        <v>30</v>
      </c>
    </row>
    <row r="199" spans="1:20" x14ac:dyDescent="0.3">
      <c r="A199" s="4" t="s">
        <v>21</v>
      </c>
      <c r="B199" s="4" t="s">
        <v>56</v>
      </c>
      <c r="C199" s="4" t="s">
        <v>32</v>
      </c>
      <c r="D199" s="5">
        <v>0.05</v>
      </c>
      <c r="E199" s="4" t="s">
        <v>24</v>
      </c>
      <c r="F199" s="4" t="s">
        <v>25</v>
      </c>
      <c r="G199" s="4" t="s">
        <v>26</v>
      </c>
      <c r="H199" s="4" t="s">
        <v>27</v>
      </c>
      <c r="I199" s="6">
        <v>1296.824212</v>
      </c>
      <c r="J199" s="7">
        <v>0.01</v>
      </c>
      <c r="K199" s="7">
        <v>9.9999997764825821E-3</v>
      </c>
      <c r="L199" s="4" t="s">
        <v>28</v>
      </c>
      <c r="M199" s="4" t="s">
        <v>28</v>
      </c>
      <c r="N199" s="4" t="s">
        <v>28</v>
      </c>
      <c r="O199" s="4" t="s">
        <v>28</v>
      </c>
      <c r="P199" s="4" t="s">
        <v>28</v>
      </c>
      <c r="Q199" s="4" t="s">
        <v>28</v>
      </c>
      <c r="R199" s="8">
        <v>46254.773759756943</v>
      </c>
      <c r="S199" s="4" t="s">
        <v>29</v>
      </c>
      <c r="T199" s="4" t="s">
        <v>30</v>
      </c>
    </row>
    <row r="200" spans="1:20" x14ac:dyDescent="0.3">
      <c r="A200" s="4" t="s">
        <v>21</v>
      </c>
      <c r="B200" s="4" t="s">
        <v>56</v>
      </c>
      <c r="C200" s="4" t="s">
        <v>32</v>
      </c>
      <c r="D200" s="5">
        <v>0.05</v>
      </c>
      <c r="E200" s="4" t="s">
        <v>24</v>
      </c>
      <c r="F200" s="4" t="s">
        <v>25</v>
      </c>
      <c r="G200" s="4" t="s">
        <v>26</v>
      </c>
      <c r="H200" s="4" t="s">
        <v>31</v>
      </c>
      <c r="I200" s="6">
        <v>786062.01705599995</v>
      </c>
      <c r="J200" s="7">
        <v>0.01</v>
      </c>
      <c r="K200" s="7">
        <v>9.9999997764825821E-3</v>
      </c>
      <c r="L200" s="4" t="s">
        <v>28</v>
      </c>
      <c r="M200" s="4" t="s">
        <v>28</v>
      </c>
      <c r="N200" s="4" t="s">
        <v>28</v>
      </c>
      <c r="O200" s="4" t="s">
        <v>28</v>
      </c>
      <c r="P200" s="4" t="s">
        <v>28</v>
      </c>
      <c r="Q200" s="4" t="s">
        <v>28</v>
      </c>
      <c r="R200" s="8">
        <v>46254.773759756943</v>
      </c>
      <c r="S200" s="4" t="s">
        <v>29</v>
      </c>
      <c r="T200" s="4" t="s">
        <v>30</v>
      </c>
    </row>
    <row r="201" spans="1:20" x14ac:dyDescent="0.3">
      <c r="A201" s="4" t="s">
        <v>21</v>
      </c>
      <c r="B201" s="4" t="s">
        <v>56</v>
      </c>
      <c r="C201" s="4" t="s">
        <v>32</v>
      </c>
      <c r="D201" s="5">
        <v>0.1</v>
      </c>
      <c r="E201" s="4" t="s">
        <v>24</v>
      </c>
      <c r="F201" s="4" t="s">
        <v>25</v>
      </c>
      <c r="G201" s="4" t="s">
        <v>26</v>
      </c>
      <c r="H201" s="4" t="s">
        <v>27</v>
      </c>
      <c r="I201" s="6">
        <v>1110.763293</v>
      </c>
      <c r="J201" s="7">
        <v>0.01</v>
      </c>
      <c r="K201" s="7">
        <v>9.9999997764825821E-3</v>
      </c>
      <c r="L201" s="4" t="s">
        <v>28</v>
      </c>
      <c r="M201" s="4" t="s">
        <v>28</v>
      </c>
      <c r="N201" s="4" t="s">
        <v>28</v>
      </c>
      <c r="O201" s="4" t="s">
        <v>28</v>
      </c>
      <c r="P201" s="4" t="s">
        <v>28</v>
      </c>
      <c r="Q201" s="4" t="s">
        <v>28</v>
      </c>
      <c r="R201" s="8">
        <v>46254.773776805552</v>
      </c>
      <c r="S201" s="4" t="s">
        <v>29</v>
      </c>
      <c r="T201" s="4" t="s">
        <v>30</v>
      </c>
    </row>
    <row r="202" spans="1:20" x14ac:dyDescent="0.3">
      <c r="A202" s="4" t="s">
        <v>21</v>
      </c>
      <c r="B202" s="4" t="s">
        <v>56</v>
      </c>
      <c r="C202" s="4" t="s">
        <v>32</v>
      </c>
      <c r="D202" s="5">
        <v>0.1</v>
      </c>
      <c r="E202" s="4" t="s">
        <v>24</v>
      </c>
      <c r="F202" s="4" t="s">
        <v>25</v>
      </c>
      <c r="G202" s="4" t="s">
        <v>26</v>
      </c>
      <c r="H202" s="4" t="s">
        <v>31</v>
      </c>
      <c r="I202" s="6">
        <v>785875.956137</v>
      </c>
      <c r="J202" s="7">
        <v>0.01</v>
      </c>
      <c r="K202" s="7">
        <v>9.9999997764825821E-3</v>
      </c>
      <c r="L202" s="4" t="s">
        <v>28</v>
      </c>
      <c r="M202" s="4" t="s">
        <v>28</v>
      </c>
      <c r="N202" s="4" t="s">
        <v>28</v>
      </c>
      <c r="O202" s="4" t="s">
        <v>28</v>
      </c>
      <c r="P202" s="4" t="s">
        <v>28</v>
      </c>
      <c r="Q202" s="4" t="s">
        <v>28</v>
      </c>
      <c r="R202" s="8">
        <v>46254.773776805552</v>
      </c>
      <c r="S202" s="4" t="s">
        <v>29</v>
      </c>
      <c r="T202" s="4" t="s">
        <v>30</v>
      </c>
    </row>
    <row r="203" spans="1:20" x14ac:dyDescent="0.3">
      <c r="A203" s="4" t="s">
        <v>21</v>
      </c>
      <c r="B203" s="4" t="s">
        <v>57</v>
      </c>
      <c r="C203" s="4" t="s">
        <v>23</v>
      </c>
      <c r="D203" s="5">
        <v>0.05</v>
      </c>
      <c r="E203" s="4" t="s">
        <v>24</v>
      </c>
      <c r="F203" s="4" t="s">
        <v>25</v>
      </c>
      <c r="G203" s="4" t="s">
        <v>26</v>
      </c>
      <c r="H203" s="4" t="s">
        <v>27</v>
      </c>
      <c r="I203" s="6">
        <v>1069.861195</v>
      </c>
      <c r="J203" s="7">
        <v>0.01</v>
      </c>
      <c r="K203" s="7">
        <v>9.9999997764825821E-3</v>
      </c>
      <c r="L203" s="4" t="s">
        <v>28</v>
      </c>
      <c r="M203" s="4" t="s">
        <v>28</v>
      </c>
      <c r="N203" s="4" t="s">
        <v>28</v>
      </c>
      <c r="O203" s="4" t="s">
        <v>28</v>
      </c>
      <c r="P203" s="4" t="s">
        <v>28</v>
      </c>
      <c r="Q203" s="4" t="s">
        <v>28</v>
      </c>
      <c r="R203" s="8">
        <v>46254.773995821757</v>
      </c>
      <c r="S203" s="4" t="s">
        <v>29</v>
      </c>
      <c r="T203" s="4" t="s">
        <v>30</v>
      </c>
    </row>
    <row r="204" spans="1:20" x14ac:dyDescent="0.3">
      <c r="A204" s="4" t="s">
        <v>21</v>
      </c>
      <c r="B204" s="4" t="s">
        <v>57</v>
      </c>
      <c r="C204" s="4" t="s">
        <v>23</v>
      </c>
      <c r="D204" s="5">
        <v>0.05</v>
      </c>
      <c r="E204" s="4" t="s">
        <v>24</v>
      </c>
      <c r="F204" s="4" t="s">
        <v>25</v>
      </c>
      <c r="G204" s="4" t="s">
        <v>26</v>
      </c>
      <c r="H204" s="4" t="s">
        <v>31</v>
      </c>
      <c r="I204" s="6">
        <v>679622.96511800005</v>
      </c>
      <c r="J204" s="7">
        <v>0.01</v>
      </c>
      <c r="K204" s="7">
        <v>9.9999997764825821E-3</v>
      </c>
      <c r="L204" s="4" t="s">
        <v>28</v>
      </c>
      <c r="M204" s="4" t="s">
        <v>28</v>
      </c>
      <c r="N204" s="4" t="s">
        <v>28</v>
      </c>
      <c r="O204" s="4" t="s">
        <v>28</v>
      </c>
      <c r="P204" s="4" t="s">
        <v>28</v>
      </c>
      <c r="Q204" s="4" t="s">
        <v>28</v>
      </c>
      <c r="R204" s="8">
        <v>46254.773995821757</v>
      </c>
      <c r="S204" s="4" t="s">
        <v>29</v>
      </c>
      <c r="T204" s="4" t="s">
        <v>30</v>
      </c>
    </row>
    <row r="205" spans="1:20" x14ac:dyDescent="0.3">
      <c r="A205" s="4" t="s">
        <v>21</v>
      </c>
      <c r="B205" s="4" t="s">
        <v>57</v>
      </c>
      <c r="C205" s="4" t="s">
        <v>23</v>
      </c>
      <c r="D205" s="5">
        <v>0.1</v>
      </c>
      <c r="E205" s="4" t="s">
        <v>24</v>
      </c>
      <c r="F205" s="4" t="s">
        <v>25</v>
      </c>
      <c r="G205" s="4" t="s">
        <v>26</v>
      </c>
      <c r="H205" s="4" t="s">
        <v>27</v>
      </c>
      <c r="I205" s="6">
        <v>979.47225500000002</v>
      </c>
      <c r="J205" s="7">
        <v>0.01</v>
      </c>
      <c r="K205" s="7">
        <v>9.9999997764825821E-3</v>
      </c>
      <c r="L205" s="4" t="s">
        <v>28</v>
      </c>
      <c r="M205" s="4" t="s">
        <v>28</v>
      </c>
      <c r="N205" s="4" t="s">
        <v>28</v>
      </c>
      <c r="O205" s="4" t="s">
        <v>28</v>
      </c>
      <c r="P205" s="4" t="s">
        <v>28</v>
      </c>
      <c r="Q205" s="4" t="s">
        <v>28</v>
      </c>
      <c r="R205" s="8">
        <v>46254.77399652778</v>
      </c>
      <c r="S205" s="4" t="s">
        <v>29</v>
      </c>
      <c r="T205" s="4" t="s">
        <v>30</v>
      </c>
    </row>
    <row r="206" spans="1:20" x14ac:dyDescent="0.3">
      <c r="A206" s="4" t="s">
        <v>21</v>
      </c>
      <c r="B206" s="4" t="s">
        <v>57</v>
      </c>
      <c r="C206" s="4" t="s">
        <v>23</v>
      </c>
      <c r="D206" s="5">
        <v>0.1</v>
      </c>
      <c r="E206" s="4" t="s">
        <v>24</v>
      </c>
      <c r="F206" s="4" t="s">
        <v>25</v>
      </c>
      <c r="G206" s="4" t="s">
        <v>26</v>
      </c>
      <c r="H206" s="4" t="s">
        <v>31</v>
      </c>
      <c r="I206" s="6">
        <v>679532.57617699995</v>
      </c>
      <c r="J206" s="7">
        <v>0.01</v>
      </c>
      <c r="K206" s="7">
        <v>9.9999997764825821E-3</v>
      </c>
      <c r="L206" s="4" t="s">
        <v>28</v>
      </c>
      <c r="M206" s="4" t="s">
        <v>28</v>
      </c>
      <c r="N206" s="4" t="s">
        <v>28</v>
      </c>
      <c r="O206" s="4" t="s">
        <v>28</v>
      </c>
      <c r="P206" s="4" t="s">
        <v>28</v>
      </c>
      <c r="Q206" s="4" t="s">
        <v>28</v>
      </c>
      <c r="R206" s="8">
        <v>46254.77399652778</v>
      </c>
      <c r="S206" s="4" t="s">
        <v>29</v>
      </c>
      <c r="T206" s="4" t="s">
        <v>30</v>
      </c>
    </row>
    <row r="207" spans="1:20" x14ac:dyDescent="0.3">
      <c r="A207" s="4" t="s">
        <v>21</v>
      </c>
      <c r="B207" s="4" t="s">
        <v>57</v>
      </c>
      <c r="C207" s="4" t="s">
        <v>32</v>
      </c>
      <c r="D207" s="5">
        <v>0.05</v>
      </c>
      <c r="E207" s="4" t="s">
        <v>24</v>
      </c>
      <c r="F207" s="4" t="s">
        <v>25</v>
      </c>
      <c r="G207" s="4" t="s">
        <v>26</v>
      </c>
      <c r="H207" s="4" t="s">
        <v>27</v>
      </c>
      <c r="I207" s="6">
        <v>866.88092800000004</v>
      </c>
      <c r="J207" s="7">
        <v>0.01</v>
      </c>
      <c r="K207" s="7">
        <v>9.9999997764825821E-3</v>
      </c>
      <c r="L207" s="4" t="s">
        <v>28</v>
      </c>
      <c r="M207" s="4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8">
        <v>46254.773996990742</v>
      </c>
      <c r="S207" s="4" t="s">
        <v>29</v>
      </c>
      <c r="T207" s="4" t="s">
        <v>30</v>
      </c>
    </row>
    <row r="208" spans="1:20" x14ac:dyDescent="0.3">
      <c r="A208" s="4" t="s">
        <v>21</v>
      </c>
      <c r="B208" s="4" t="s">
        <v>57</v>
      </c>
      <c r="C208" s="4" t="s">
        <v>32</v>
      </c>
      <c r="D208" s="5">
        <v>0.05</v>
      </c>
      <c r="E208" s="4" t="s">
        <v>24</v>
      </c>
      <c r="F208" s="4" t="s">
        <v>25</v>
      </c>
      <c r="G208" s="4" t="s">
        <v>26</v>
      </c>
      <c r="H208" s="4" t="s">
        <v>31</v>
      </c>
      <c r="I208" s="6">
        <v>785656.79628799995</v>
      </c>
      <c r="J208" s="7">
        <v>0.01</v>
      </c>
      <c r="K208" s="7">
        <v>9.9999997764825821E-3</v>
      </c>
      <c r="L208" s="4" t="s">
        <v>28</v>
      </c>
      <c r="M208" s="4" t="s">
        <v>28</v>
      </c>
      <c r="N208" s="4" t="s">
        <v>28</v>
      </c>
      <c r="O208" s="4" t="s">
        <v>28</v>
      </c>
      <c r="P208" s="4" t="s">
        <v>28</v>
      </c>
      <c r="Q208" s="4" t="s">
        <v>28</v>
      </c>
      <c r="R208" s="8">
        <v>46254.773996990742</v>
      </c>
      <c r="S208" s="4" t="s">
        <v>29</v>
      </c>
      <c r="T208" s="4" t="s">
        <v>30</v>
      </c>
    </row>
    <row r="209" spans="1:20" x14ac:dyDescent="0.3">
      <c r="A209" s="4" t="s">
        <v>21</v>
      </c>
      <c r="B209" s="4" t="s">
        <v>57</v>
      </c>
      <c r="C209" s="4" t="s">
        <v>32</v>
      </c>
      <c r="D209" s="5">
        <v>0.1</v>
      </c>
      <c r="E209" s="4" t="s">
        <v>24</v>
      </c>
      <c r="F209" s="4" t="s">
        <v>25</v>
      </c>
      <c r="G209" s="4" t="s">
        <v>26</v>
      </c>
      <c r="H209" s="4" t="s">
        <v>27</v>
      </c>
      <c r="I209" s="6">
        <v>796.31638299999997</v>
      </c>
      <c r="J209" s="7">
        <v>0.01</v>
      </c>
      <c r="K209" s="7">
        <v>9.9999997764825821E-3</v>
      </c>
      <c r="L209" s="4" t="s">
        <v>28</v>
      </c>
      <c r="M209" s="4" t="s">
        <v>28</v>
      </c>
      <c r="N209" s="4" t="s">
        <v>28</v>
      </c>
      <c r="O209" s="4" t="s">
        <v>28</v>
      </c>
      <c r="P209" s="4" t="s">
        <v>28</v>
      </c>
      <c r="Q209" s="4" t="s">
        <v>28</v>
      </c>
      <c r="R209" s="8">
        <v>46254.7739975</v>
      </c>
      <c r="S209" s="4" t="s">
        <v>29</v>
      </c>
      <c r="T209" s="4" t="s">
        <v>30</v>
      </c>
    </row>
    <row r="210" spans="1:20" x14ac:dyDescent="0.3">
      <c r="A210" s="4" t="s">
        <v>21</v>
      </c>
      <c r="B210" s="4" t="s">
        <v>57</v>
      </c>
      <c r="C210" s="4" t="s">
        <v>32</v>
      </c>
      <c r="D210" s="5">
        <v>0.1</v>
      </c>
      <c r="E210" s="4" t="s">
        <v>24</v>
      </c>
      <c r="F210" s="4" t="s">
        <v>25</v>
      </c>
      <c r="G210" s="4" t="s">
        <v>26</v>
      </c>
      <c r="H210" s="4" t="s">
        <v>31</v>
      </c>
      <c r="I210" s="6">
        <v>785586.23174299998</v>
      </c>
      <c r="J210" s="7">
        <v>0.01</v>
      </c>
      <c r="K210" s="7">
        <v>9.9999997764825821E-3</v>
      </c>
      <c r="L210" s="4" t="s">
        <v>28</v>
      </c>
      <c r="M210" s="4" t="s">
        <v>28</v>
      </c>
      <c r="N210" s="4" t="s">
        <v>28</v>
      </c>
      <c r="O210" s="4" t="s">
        <v>28</v>
      </c>
      <c r="P210" s="4" t="s">
        <v>28</v>
      </c>
      <c r="Q210" s="4" t="s">
        <v>28</v>
      </c>
      <c r="R210" s="8">
        <v>46254.7739975</v>
      </c>
      <c r="S210" s="4" t="s">
        <v>29</v>
      </c>
      <c r="T210" s="4" t="s">
        <v>30</v>
      </c>
    </row>
    <row r="211" spans="1:20" s="15" customFormat="1" x14ac:dyDescent="0.3">
      <c r="A211" s="10" t="s">
        <v>21</v>
      </c>
      <c r="B211" s="10" t="s">
        <v>58</v>
      </c>
      <c r="C211" s="10" t="s">
        <v>23</v>
      </c>
      <c r="D211" s="11">
        <v>0.05</v>
      </c>
      <c r="E211" s="10" t="s">
        <v>24</v>
      </c>
      <c r="F211" s="10" t="s">
        <v>25</v>
      </c>
      <c r="G211" s="10" t="s">
        <v>26</v>
      </c>
      <c r="H211" s="10" t="s">
        <v>27</v>
      </c>
      <c r="I211" s="12">
        <v>728.93508099999997</v>
      </c>
      <c r="J211" s="13">
        <v>0.01</v>
      </c>
      <c r="K211" s="13">
        <v>9.9999997764825821E-3</v>
      </c>
      <c r="L211" s="10" t="s">
        <v>28</v>
      </c>
      <c r="M211" s="10" t="s">
        <v>28</v>
      </c>
      <c r="N211" s="10" t="s">
        <v>28</v>
      </c>
      <c r="O211" s="10" t="s">
        <v>28</v>
      </c>
      <c r="P211" s="10" t="s">
        <v>28</v>
      </c>
      <c r="Q211" s="10" t="s">
        <v>28</v>
      </c>
      <c r="R211" s="14">
        <v>46254.774145439813</v>
      </c>
      <c r="S211" s="10" t="s">
        <v>29</v>
      </c>
      <c r="T211" s="10" t="s">
        <v>30</v>
      </c>
    </row>
    <row r="212" spans="1:20" s="15" customFormat="1" x14ac:dyDescent="0.3">
      <c r="A212" s="10" t="s">
        <v>21</v>
      </c>
      <c r="B212" s="10" t="s">
        <v>58</v>
      </c>
      <c r="C212" s="10" t="s">
        <v>23</v>
      </c>
      <c r="D212" s="11">
        <v>0.05</v>
      </c>
      <c r="E212" s="10" t="s">
        <v>24</v>
      </c>
      <c r="F212" s="10" t="s">
        <v>25</v>
      </c>
      <c r="G212" s="10" t="s">
        <v>26</v>
      </c>
      <c r="H212" s="10" t="s">
        <v>31</v>
      </c>
      <c r="I212" s="12">
        <v>679359.57773500006</v>
      </c>
      <c r="J212" s="13">
        <v>0.01</v>
      </c>
      <c r="K212" s="13">
        <v>9.9999997764825821E-3</v>
      </c>
      <c r="L212" s="10" t="s">
        <v>28</v>
      </c>
      <c r="M212" s="10" t="s">
        <v>28</v>
      </c>
      <c r="N212" s="10" t="s">
        <v>28</v>
      </c>
      <c r="O212" s="10" t="s">
        <v>28</v>
      </c>
      <c r="P212" s="10" t="s">
        <v>28</v>
      </c>
      <c r="Q212" s="10" t="s">
        <v>28</v>
      </c>
      <c r="R212" s="14">
        <v>46254.774145439813</v>
      </c>
      <c r="S212" s="10" t="s">
        <v>29</v>
      </c>
      <c r="T212" s="10" t="s">
        <v>30</v>
      </c>
    </row>
    <row r="213" spans="1:20" s="15" customFormat="1" x14ac:dyDescent="0.3">
      <c r="A213" s="10" t="s">
        <v>21</v>
      </c>
      <c r="B213" s="10" t="s">
        <v>58</v>
      </c>
      <c r="C213" s="10" t="s">
        <v>23</v>
      </c>
      <c r="D213" s="11">
        <v>0.1</v>
      </c>
      <c r="E213" s="10" t="s">
        <v>24</v>
      </c>
      <c r="F213" s="10" t="s">
        <v>25</v>
      </c>
      <c r="G213" s="10" t="s">
        <v>26</v>
      </c>
      <c r="H213" s="10" t="s">
        <v>27</v>
      </c>
      <c r="I213" s="12">
        <v>670.80580599999996</v>
      </c>
      <c r="J213" s="13">
        <v>0.01</v>
      </c>
      <c r="K213" s="13">
        <v>9.9999997764825821E-3</v>
      </c>
      <c r="L213" s="10" t="s">
        <v>28</v>
      </c>
      <c r="M213" s="10" t="s">
        <v>28</v>
      </c>
      <c r="N213" s="10" t="s">
        <v>28</v>
      </c>
      <c r="O213" s="10" t="s">
        <v>28</v>
      </c>
      <c r="P213" s="10" t="s">
        <v>28</v>
      </c>
      <c r="Q213" s="10" t="s">
        <v>28</v>
      </c>
      <c r="R213" s="14">
        <v>46254.774150358797</v>
      </c>
      <c r="S213" s="10" t="s">
        <v>29</v>
      </c>
      <c r="T213" s="10" t="s">
        <v>30</v>
      </c>
    </row>
    <row r="214" spans="1:20" s="15" customFormat="1" x14ac:dyDescent="0.3">
      <c r="A214" s="10" t="s">
        <v>21</v>
      </c>
      <c r="B214" s="10" t="s">
        <v>58</v>
      </c>
      <c r="C214" s="10" t="s">
        <v>23</v>
      </c>
      <c r="D214" s="11">
        <v>0.1</v>
      </c>
      <c r="E214" s="10" t="s">
        <v>24</v>
      </c>
      <c r="F214" s="10" t="s">
        <v>25</v>
      </c>
      <c r="G214" s="10" t="s">
        <v>26</v>
      </c>
      <c r="H214" s="10" t="s">
        <v>31</v>
      </c>
      <c r="I214" s="12">
        <v>679301.44845999999</v>
      </c>
      <c r="J214" s="13">
        <v>0.01</v>
      </c>
      <c r="K214" s="13">
        <v>9.9999997764825821E-3</v>
      </c>
      <c r="L214" s="10" t="s">
        <v>28</v>
      </c>
      <c r="M214" s="10" t="s">
        <v>28</v>
      </c>
      <c r="N214" s="10" t="s">
        <v>28</v>
      </c>
      <c r="O214" s="10" t="s">
        <v>28</v>
      </c>
      <c r="P214" s="10" t="s">
        <v>28</v>
      </c>
      <c r="Q214" s="10" t="s">
        <v>28</v>
      </c>
      <c r="R214" s="14">
        <v>46254.774150358797</v>
      </c>
      <c r="S214" s="10" t="s">
        <v>29</v>
      </c>
      <c r="T214" s="10" t="s">
        <v>30</v>
      </c>
    </row>
    <row r="215" spans="1:20" s="15" customFormat="1" x14ac:dyDescent="0.3">
      <c r="A215" s="10" t="s">
        <v>21</v>
      </c>
      <c r="B215" s="10" t="s">
        <v>58</v>
      </c>
      <c r="C215" s="10" t="s">
        <v>32</v>
      </c>
      <c r="D215" s="11">
        <v>0.05</v>
      </c>
      <c r="E215" s="10" t="s">
        <v>24</v>
      </c>
      <c r="F215" s="10" t="s">
        <v>25</v>
      </c>
      <c r="G215" s="10" t="s">
        <v>26</v>
      </c>
      <c r="H215" s="10" t="s">
        <v>27</v>
      </c>
      <c r="I215" s="12">
        <v>606.07007999999996</v>
      </c>
      <c r="J215" s="13">
        <v>0.01</v>
      </c>
      <c r="K215" s="13">
        <v>9.9999997764825821E-3</v>
      </c>
      <c r="L215" s="10" t="s">
        <v>28</v>
      </c>
      <c r="M215" s="10" t="s">
        <v>28</v>
      </c>
      <c r="N215" s="10" t="s">
        <v>28</v>
      </c>
      <c r="O215" s="10" t="s">
        <v>28</v>
      </c>
      <c r="P215" s="10" t="s">
        <v>28</v>
      </c>
      <c r="Q215" s="10" t="s">
        <v>28</v>
      </c>
      <c r="R215" s="14">
        <v>46254.774158854168</v>
      </c>
      <c r="S215" s="10" t="s">
        <v>29</v>
      </c>
      <c r="T215" s="10" t="s">
        <v>30</v>
      </c>
    </row>
    <row r="216" spans="1:20" s="15" customFormat="1" x14ac:dyDescent="0.3">
      <c r="A216" s="10" t="s">
        <v>21</v>
      </c>
      <c r="B216" s="10" t="s">
        <v>58</v>
      </c>
      <c r="C216" s="10" t="s">
        <v>32</v>
      </c>
      <c r="D216" s="11">
        <v>0.05</v>
      </c>
      <c r="E216" s="10" t="s">
        <v>24</v>
      </c>
      <c r="F216" s="10" t="s">
        <v>25</v>
      </c>
      <c r="G216" s="10" t="s">
        <v>26</v>
      </c>
      <c r="H216" s="10" t="s">
        <v>31</v>
      </c>
      <c r="I216" s="12">
        <v>785455.53058699996</v>
      </c>
      <c r="J216" s="13">
        <v>0.01</v>
      </c>
      <c r="K216" s="13">
        <v>9.9999997764825821E-3</v>
      </c>
      <c r="L216" s="10" t="s">
        <v>28</v>
      </c>
      <c r="M216" s="10" t="s">
        <v>28</v>
      </c>
      <c r="N216" s="10" t="s">
        <v>28</v>
      </c>
      <c r="O216" s="10" t="s">
        <v>28</v>
      </c>
      <c r="P216" s="10" t="s">
        <v>28</v>
      </c>
      <c r="Q216" s="10" t="s">
        <v>28</v>
      </c>
      <c r="R216" s="14">
        <v>46254.774158854168</v>
      </c>
      <c r="S216" s="10" t="s">
        <v>29</v>
      </c>
      <c r="T216" s="10" t="s">
        <v>30</v>
      </c>
    </row>
    <row r="217" spans="1:20" s="15" customFormat="1" x14ac:dyDescent="0.3">
      <c r="A217" s="10" t="s">
        <v>21</v>
      </c>
      <c r="B217" s="10" t="s">
        <v>58</v>
      </c>
      <c r="C217" s="10" t="s">
        <v>32</v>
      </c>
      <c r="D217" s="11">
        <v>0.1</v>
      </c>
      <c r="E217" s="10" t="s">
        <v>24</v>
      </c>
      <c r="F217" s="10" t="s">
        <v>25</v>
      </c>
      <c r="G217" s="10" t="s">
        <v>26</v>
      </c>
      <c r="H217" s="10" t="s">
        <v>27</v>
      </c>
      <c r="I217" s="12">
        <v>559.288678</v>
      </c>
      <c r="J217" s="13">
        <v>0.01</v>
      </c>
      <c r="K217" s="13">
        <v>9.9999997764825821E-3</v>
      </c>
      <c r="L217" s="10" t="s">
        <v>28</v>
      </c>
      <c r="M217" s="10" t="s">
        <v>28</v>
      </c>
      <c r="N217" s="10" t="s">
        <v>28</v>
      </c>
      <c r="O217" s="10" t="s">
        <v>28</v>
      </c>
      <c r="P217" s="10" t="s">
        <v>28</v>
      </c>
      <c r="Q217" s="10" t="s">
        <v>28</v>
      </c>
      <c r="R217" s="14">
        <v>46254.77416025463</v>
      </c>
      <c r="S217" s="10" t="s">
        <v>29</v>
      </c>
      <c r="T217" s="10" t="s">
        <v>30</v>
      </c>
    </row>
    <row r="218" spans="1:20" s="15" customFormat="1" x14ac:dyDescent="0.3">
      <c r="A218" s="10" t="s">
        <v>21</v>
      </c>
      <c r="B218" s="10" t="s">
        <v>58</v>
      </c>
      <c r="C218" s="10" t="s">
        <v>32</v>
      </c>
      <c r="D218" s="11">
        <v>0.1</v>
      </c>
      <c r="E218" s="10" t="s">
        <v>24</v>
      </c>
      <c r="F218" s="10" t="s">
        <v>25</v>
      </c>
      <c r="G218" s="10" t="s">
        <v>26</v>
      </c>
      <c r="H218" s="10" t="s">
        <v>31</v>
      </c>
      <c r="I218" s="12">
        <v>785408.74918599997</v>
      </c>
      <c r="J218" s="13">
        <v>0.01</v>
      </c>
      <c r="K218" s="13">
        <v>9.9999997764825821E-3</v>
      </c>
      <c r="L218" s="10" t="s">
        <v>28</v>
      </c>
      <c r="M218" s="10" t="s">
        <v>28</v>
      </c>
      <c r="N218" s="10" t="s">
        <v>28</v>
      </c>
      <c r="O218" s="10" t="s">
        <v>28</v>
      </c>
      <c r="P218" s="10" t="s">
        <v>28</v>
      </c>
      <c r="Q218" s="10" t="s">
        <v>28</v>
      </c>
      <c r="R218" s="14">
        <v>46254.77416025463</v>
      </c>
      <c r="S218" s="10" t="s">
        <v>29</v>
      </c>
      <c r="T218" s="10" t="s">
        <v>30</v>
      </c>
    </row>
    <row r="219" spans="1:20" x14ac:dyDescent="0.3">
      <c r="A219" s="4" t="s">
        <v>21</v>
      </c>
      <c r="B219" s="4" t="s">
        <v>59</v>
      </c>
      <c r="C219" s="4" t="s">
        <v>23</v>
      </c>
      <c r="D219" s="5">
        <v>0.05</v>
      </c>
      <c r="E219" s="4" t="s">
        <v>24</v>
      </c>
      <c r="F219" s="4" t="s">
        <v>25</v>
      </c>
      <c r="G219" s="4" t="s">
        <v>26</v>
      </c>
      <c r="H219" s="4" t="s">
        <v>27</v>
      </c>
      <c r="I219" s="6">
        <v>491.99399899999997</v>
      </c>
      <c r="J219" s="7">
        <v>0.01</v>
      </c>
      <c r="K219" s="7">
        <v>9.9999997764825821E-3</v>
      </c>
      <c r="L219" s="4" t="s">
        <v>28</v>
      </c>
      <c r="M219" s="4" t="s">
        <v>28</v>
      </c>
      <c r="N219" s="4" t="s">
        <v>28</v>
      </c>
      <c r="O219" s="4" t="s">
        <v>28</v>
      </c>
      <c r="P219" s="4" t="s">
        <v>28</v>
      </c>
      <c r="Q219" s="4" t="s">
        <v>28</v>
      </c>
      <c r="R219" s="8">
        <v>46254.774630370368</v>
      </c>
      <c r="S219" s="4" t="s">
        <v>29</v>
      </c>
      <c r="T219" s="4" t="s">
        <v>30</v>
      </c>
    </row>
    <row r="220" spans="1:20" x14ac:dyDescent="0.3">
      <c r="A220" s="4" t="s">
        <v>21</v>
      </c>
      <c r="B220" s="4" t="s">
        <v>59</v>
      </c>
      <c r="C220" s="4" t="s">
        <v>23</v>
      </c>
      <c r="D220" s="5">
        <v>0.05</v>
      </c>
      <c r="E220" s="4" t="s">
        <v>24</v>
      </c>
      <c r="F220" s="4" t="s">
        <v>25</v>
      </c>
      <c r="G220" s="4" t="s">
        <v>26</v>
      </c>
      <c r="H220" s="4" t="s">
        <v>31</v>
      </c>
      <c r="I220" s="6">
        <v>679156.13000600005</v>
      </c>
      <c r="J220" s="7">
        <v>0.01</v>
      </c>
      <c r="K220" s="7">
        <v>9.9999997764825821E-3</v>
      </c>
      <c r="L220" s="4" t="s">
        <v>28</v>
      </c>
      <c r="M220" s="4" t="s">
        <v>28</v>
      </c>
      <c r="N220" s="4" t="s">
        <v>28</v>
      </c>
      <c r="O220" s="4" t="s">
        <v>28</v>
      </c>
      <c r="P220" s="4" t="s">
        <v>28</v>
      </c>
      <c r="Q220" s="4" t="s">
        <v>28</v>
      </c>
      <c r="R220" s="8">
        <v>46254.774630370368</v>
      </c>
      <c r="S220" s="4" t="s">
        <v>29</v>
      </c>
      <c r="T220" s="4" t="s">
        <v>30</v>
      </c>
    </row>
    <row r="221" spans="1:20" x14ac:dyDescent="0.3">
      <c r="A221" s="4" t="s">
        <v>21</v>
      </c>
      <c r="B221" s="4" t="s">
        <v>59</v>
      </c>
      <c r="C221" s="4" t="s">
        <v>23</v>
      </c>
      <c r="D221" s="5">
        <v>0.1</v>
      </c>
      <c r="E221" s="4" t="s">
        <v>24</v>
      </c>
      <c r="F221" s="4" t="s">
        <v>25</v>
      </c>
      <c r="G221" s="4" t="s">
        <v>26</v>
      </c>
      <c r="H221" s="4" t="s">
        <v>27</v>
      </c>
      <c r="I221" s="6">
        <v>453.83120500000001</v>
      </c>
      <c r="J221" s="7">
        <v>0.01</v>
      </c>
      <c r="K221" s="7">
        <v>9.9999997764825821E-3</v>
      </c>
      <c r="L221" s="4" t="s">
        <v>28</v>
      </c>
      <c r="M221" s="4" t="s">
        <v>28</v>
      </c>
      <c r="N221" s="4" t="s">
        <v>28</v>
      </c>
      <c r="O221" s="4" t="s">
        <v>28</v>
      </c>
      <c r="P221" s="4" t="s">
        <v>28</v>
      </c>
      <c r="Q221" s="4" t="s">
        <v>28</v>
      </c>
      <c r="R221" s="8">
        <v>46254.774630868058</v>
      </c>
      <c r="S221" s="4" t="s">
        <v>29</v>
      </c>
      <c r="T221" s="4" t="s">
        <v>30</v>
      </c>
    </row>
    <row r="222" spans="1:20" x14ac:dyDescent="0.3">
      <c r="A222" s="4" t="s">
        <v>21</v>
      </c>
      <c r="B222" s="4" t="s">
        <v>59</v>
      </c>
      <c r="C222" s="4" t="s">
        <v>23</v>
      </c>
      <c r="D222" s="5">
        <v>0.1</v>
      </c>
      <c r="E222" s="4" t="s">
        <v>24</v>
      </c>
      <c r="F222" s="4" t="s">
        <v>25</v>
      </c>
      <c r="G222" s="4" t="s">
        <v>26</v>
      </c>
      <c r="H222" s="4" t="s">
        <v>31</v>
      </c>
      <c r="I222" s="6">
        <v>679117.96721100004</v>
      </c>
      <c r="J222" s="7">
        <v>0.01</v>
      </c>
      <c r="K222" s="7">
        <v>9.9999997764825821E-3</v>
      </c>
      <c r="L222" s="4" t="s">
        <v>28</v>
      </c>
      <c r="M222" s="4" t="s">
        <v>28</v>
      </c>
      <c r="N222" s="4" t="s">
        <v>28</v>
      </c>
      <c r="O222" s="4" t="s">
        <v>28</v>
      </c>
      <c r="P222" s="4" t="s">
        <v>28</v>
      </c>
      <c r="Q222" s="4" t="s">
        <v>28</v>
      </c>
      <c r="R222" s="8">
        <v>46254.774630868058</v>
      </c>
      <c r="S222" s="4" t="s">
        <v>29</v>
      </c>
      <c r="T222" s="4" t="s">
        <v>30</v>
      </c>
    </row>
    <row r="223" spans="1:20" x14ac:dyDescent="0.3">
      <c r="A223" s="4" t="s">
        <v>21</v>
      </c>
      <c r="B223" s="4" t="s">
        <v>59</v>
      </c>
      <c r="C223" s="4" t="s">
        <v>32</v>
      </c>
      <c r="D223" s="5">
        <v>0.05</v>
      </c>
      <c r="E223" s="4" t="s">
        <v>24</v>
      </c>
      <c r="F223" s="4" t="s">
        <v>25</v>
      </c>
      <c r="G223" s="4" t="s">
        <v>26</v>
      </c>
      <c r="H223" s="4" t="s">
        <v>27</v>
      </c>
      <c r="I223" s="6">
        <v>419.63170200000002</v>
      </c>
      <c r="J223" s="7">
        <v>0.01</v>
      </c>
      <c r="K223" s="7">
        <v>9.9999997764825821E-3</v>
      </c>
      <c r="L223" s="4" t="s">
        <v>28</v>
      </c>
      <c r="M223" s="4" t="s">
        <v>28</v>
      </c>
      <c r="N223" s="4" t="s">
        <v>28</v>
      </c>
      <c r="O223" s="4" t="s">
        <v>28</v>
      </c>
      <c r="P223" s="4" t="s">
        <v>28</v>
      </c>
      <c r="Q223" s="4" t="s">
        <v>28</v>
      </c>
      <c r="R223" s="8">
        <v>46254.774631342603</v>
      </c>
      <c r="S223" s="4" t="s">
        <v>29</v>
      </c>
      <c r="T223" s="4" t="s">
        <v>30</v>
      </c>
    </row>
    <row r="224" spans="1:20" x14ac:dyDescent="0.3">
      <c r="A224" s="4" t="s">
        <v>21</v>
      </c>
      <c r="B224" s="4" t="s">
        <v>59</v>
      </c>
      <c r="C224" s="4" t="s">
        <v>32</v>
      </c>
      <c r="D224" s="5">
        <v>0.05</v>
      </c>
      <c r="E224" s="4" t="s">
        <v>24</v>
      </c>
      <c r="F224" s="4" t="s">
        <v>25</v>
      </c>
      <c r="G224" s="4" t="s">
        <v>26</v>
      </c>
      <c r="H224" s="4" t="s">
        <v>31</v>
      </c>
      <c r="I224" s="6">
        <v>785294.52874900005</v>
      </c>
      <c r="J224" s="7">
        <v>0.01</v>
      </c>
      <c r="K224" s="7">
        <v>9.9999997764825821E-3</v>
      </c>
      <c r="L224" s="4" t="s">
        <v>28</v>
      </c>
      <c r="M224" s="4" t="s">
        <v>28</v>
      </c>
      <c r="N224" s="4" t="s">
        <v>28</v>
      </c>
      <c r="O224" s="4" t="s">
        <v>28</v>
      </c>
      <c r="P224" s="4" t="s">
        <v>28</v>
      </c>
      <c r="Q224" s="4" t="s">
        <v>28</v>
      </c>
      <c r="R224" s="8">
        <v>46254.774631342603</v>
      </c>
      <c r="S224" s="4" t="s">
        <v>29</v>
      </c>
      <c r="T224" s="4" t="s">
        <v>30</v>
      </c>
    </row>
    <row r="225" spans="1:20" x14ac:dyDescent="0.3">
      <c r="A225" s="4" t="s">
        <v>21</v>
      </c>
      <c r="B225" s="4" t="s">
        <v>59</v>
      </c>
      <c r="C225" s="4" t="s">
        <v>32</v>
      </c>
      <c r="D225" s="5">
        <v>0.1</v>
      </c>
      <c r="E225" s="4" t="s">
        <v>24</v>
      </c>
      <c r="F225" s="4" t="s">
        <v>25</v>
      </c>
      <c r="G225" s="4" t="s">
        <v>26</v>
      </c>
      <c r="H225" s="4" t="s">
        <v>27</v>
      </c>
      <c r="I225" s="6">
        <v>387.95971100000003</v>
      </c>
      <c r="J225" s="7">
        <v>0.01</v>
      </c>
      <c r="K225" s="7">
        <v>9.9999997764825821E-3</v>
      </c>
      <c r="L225" s="4" t="s">
        <v>28</v>
      </c>
      <c r="M225" s="4" t="s">
        <v>28</v>
      </c>
      <c r="N225" s="4" t="s">
        <v>28</v>
      </c>
      <c r="O225" s="4" t="s">
        <v>28</v>
      </c>
      <c r="P225" s="4" t="s">
        <v>28</v>
      </c>
      <c r="Q225" s="4" t="s">
        <v>28</v>
      </c>
      <c r="R225" s="8">
        <v>46254.774631863424</v>
      </c>
      <c r="S225" s="4" t="s">
        <v>29</v>
      </c>
      <c r="T225" s="4" t="s">
        <v>30</v>
      </c>
    </row>
    <row r="226" spans="1:20" x14ac:dyDescent="0.3">
      <c r="A226" s="4" t="s">
        <v>21</v>
      </c>
      <c r="B226" s="4" t="s">
        <v>59</v>
      </c>
      <c r="C226" s="4" t="s">
        <v>32</v>
      </c>
      <c r="D226" s="5">
        <v>0.1</v>
      </c>
      <c r="E226" s="4" t="s">
        <v>24</v>
      </c>
      <c r="F226" s="4" t="s">
        <v>25</v>
      </c>
      <c r="G226" s="4" t="s">
        <v>26</v>
      </c>
      <c r="H226" s="4" t="s">
        <v>31</v>
      </c>
      <c r="I226" s="6">
        <v>785262.85675799998</v>
      </c>
      <c r="J226" s="7">
        <v>0.01</v>
      </c>
      <c r="K226" s="7">
        <v>9.9999997764825821E-3</v>
      </c>
      <c r="L226" s="4" t="s">
        <v>28</v>
      </c>
      <c r="M226" s="4" t="s">
        <v>28</v>
      </c>
      <c r="N226" s="4" t="s">
        <v>28</v>
      </c>
      <c r="O226" s="4" t="s">
        <v>28</v>
      </c>
      <c r="P226" s="4" t="s">
        <v>28</v>
      </c>
      <c r="Q226" s="4" t="s">
        <v>28</v>
      </c>
      <c r="R226" s="8">
        <v>46254.774631863424</v>
      </c>
      <c r="S226" s="4" t="s">
        <v>29</v>
      </c>
      <c r="T226" s="4" t="s">
        <v>30</v>
      </c>
    </row>
    <row r="227" spans="1:20" x14ac:dyDescent="0.3">
      <c r="A227" s="4" t="s">
        <v>21</v>
      </c>
      <c r="B227" s="4" t="s">
        <v>60</v>
      </c>
      <c r="C227" s="4" t="s">
        <v>23</v>
      </c>
      <c r="D227" s="5">
        <v>0.05</v>
      </c>
      <c r="E227" s="4" t="s">
        <v>24</v>
      </c>
      <c r="F227" s="4" t="s">
        <v>25</v>
      </c>
      <c r="G227" s="4" t="s">
        <v>26</v>
      </c>
      <c r="H227" s="4" t="s">
        <v>27</v>
      </c>
      <c r="I227" s="6">
        <v>244.75125299999999</v>
      </c>
      <c r="J227" s="7">
        <v>0.01</v>
      </c>
      <c r="K227" s="7">
        <v>9.9999997764825821E-3</v>
      </c>
      <c r="L227" s="4" t="s">
        <v>28</v>
      </c>
      <c r="M227" s="4" t="s">
        <v>28</v>
      </c>
      <c r="N227" s="4" t="s">
        <v>28</v>
      </c>
      <c r="O227" s="4" t="s">
        <v>28</v>
      </c>
      <c r="P227" s="4" t="s">
        <v>28</v>
      </c>
      <c r="Q227" s="4" t="s">
        <v>28</v>
      </c>
      <c r="R227" s="8">
        <v>46254.774811030089</v>
      </c>
      <c r="S227" s="4" t="s">
        <v>29</v>
      </c>
      <c r="T227" s="4" t="s">
        <v>30</v>
      </c>
    </row>
    <row r="228" spans="1:20" x14ac:dyDescent="0.3">
      <c r="A228" s="4" t="s">
        <v>21</v>
      </c>
      <c r="B228" s="4" t="s">
        <v>60</v>
      </c>
      <c r="C228" s="4" t="s">
        <v>23</v>
      </c>
      <c r="D228" s="5">
        <v>0.05</v>
      </c>
      <c r="E228" s="4" t="s">
        <v>24</v>
      </c>
      <c r="F228" s="4" t="s">
        <v>25</v>
      </c>
      <c r="G228" s="4" t="s">
        <v>26</v>
      </c>
      <c r="H228" s="4" t="s">
        <v>31</v>
      </c>
      <c r="I228" s="6">
        <v>678959.68941800005</v>
      </c>
      <c r="J228" s="7">
        <v>0.01</v>
      </c>
      <c r="K228" s="7">
        <v>9.9999997764825821E-3</v>
      </c>
      <c r="L228" s="4" t="s">
        <v>28</v>
      </c>
      <c r="M228" s="4" t="s">
        <v>28</v>
      </c>
      <c r="N228" s="4" t="s">
        <v>28</v>
      </c>
      <c r="O228" s="4" t="s">
        <v>28</v>
      </c>
      <c r="P228" s="4" t="s">
        <v>28</v>
      </c>
      <c r="Q228" s="4" t="s">
        <v>28</v>
      </c>
      <c r="R228" s="8">
        <v>46254.774811030089</v>
      </c>
      <c r="S228" s="4" t="s">
        <v>29</v>
      </c>
      <c r="T228" s="4" t="s">
        <v>30</v>
      </c>
    </row>
    <row r="229" spans="1:20" x14ac:dyDescent="0.3">
      <c r="A229" s="4" t="s">
        <v>21</v>
      </c>
      <c r="B229" s="4" t="s">
        <v>60</v>
      </c>
      <c r="C229" s="4" t="s">
        <v>23</v>
      </c>
      <c r="D229" s="5">
        <v>0.1</v>
      </c>
      <c r="E229" s="4" t="s">
        <v>24</v>
      </c>
      <c r="F229" s="4" t="s">
        <v>25</v>
      </c>
      <c r="G229" s="4" t="s">
        <v>26</v>
      </c>
      <c r="H229" s="4" t="s">
        <v>27</v>
      </c>
      <c r="I229" s="6">
        <v>226.525272</v>
      </c>
      <c r="J229" s="7">
        <v>0.01</v>
      </c>
      <c r="K229" s="7">
        <v>9.9999997764825821E-3</v>
      </c>
      <c r="L229" s="4" t="s">
        <v>28</v>
      </c>
      <c r="M229" s="4" t="s">
        <v>28</v>
      </c>
      <c r="N229" s="4" t="s">
        <v>28</v>
      </c>
      <c r="O229" s="4" t="s">
        <v>28</v>
      </c>
      <c r="P229" s="4" t="s">
        <v>28</v>
      </c>
      <c r="Q229" s="4" t="s">
        <v>28</v>
      </c>
      <c r="R229" s="8">
        <v>46254.774829895832</v>
      </c>
      <c r="S229" s="4" t="s">
        <v>29</v>
      </c>
      <c r="T229" s="4" t="s">
        <v>30</v>
      </c>
    </row>
    <row r="230" spans="1:20" x14ac:dyDescent="0.3">
      <c r="A230" s="4" t="s">
        <v>21</v>
      </c>
      <c r="B230" s="4" t="s">
        <v>60</v>
      </c>
      <c r="C230" s="4" t="s">
        <v>23</v>
      </c>
      <c r="D230" s="5">
        <v>0.1</v>
      </c>
      <c r="E230" s="4" t="s">
        <v>24</v>
      </c>
      <c r="F230" s="4" t="s">
        <v>25</v>
      </c>
      <c r="G230" s="4" t="s">
        <v>26</v>
      </c>
      <c r="H230" s="4" t="s">
        <v>31</v>
      </c>
      <c r="I230" s="6">
        <v>678941.46343700006</v>
      </c>
      <c r="J230" s="7">
        <v>0.01</v>
      </c>
      <c r="K230" s="7">
        <v>9.9999997764825821E-3</v>
      </c>
      <c r="L230" s="4" t="s">
        <v>28</v>
      </c>
      <c r="M230" s="4" t="s">
        <v>28</v>
      </c>
      <c r="N230" s="4" t="s">
        <v>28</v>
      </c>
      <c r="O230" s="4" t="s">
        <v>28</v>
      </c>
      <c r="P230" s="4" t="s">
        <v>28</v>
      </c>
      <c r="Q230" s="4" t="s">
        <v>28</v>
      </c>
      <c r="R230" s="8">
        <v>46254.774829895832</v>
      </c>
      <c r="S230" s="4" t="s">
        <v>29</v>
      </c>
      <c r="T230" s="4" t="s">
        <v>30</v>
      </c>
    </row>
    <row r="231" spans="1:20" x14ac:dyDescent="0.3">
      <c r="A231" s="4" t="s">
        <v>21</v>
      </c>
      <c r="B231" s="4" t="s">
        <v>60</v>
      </c>
      <c r="C231" s="4" t="s">
        <v>32</v>
      </c>
      <c r="D231" s="5">
        <v>0.05</v>
      </c>
      <c r="E231" s="4" t="s">
        <v>24</v>
      </c>
      <c r="F231" s="4" t="s">
        <v>25</v>
      </c>
      <c r="G231" s="4" t="s">
        <v>26</v>
      </c>
      <c r="H231" s="4" t="s">
        <v>27</v>
      </c>
      <c r="I231" s="6">
        <v>214.21343200000001</v>
      </c>
      <c r="J231" s="7">
        <v>0.01</v>
      </c>
      <c r="K231" s="7">
        <v>9.9999997764825821E-3</v>
      </c>
      <c r="L231" s="4" t="s">
        <v>28</v>
      </c>
      <c r="M231" s="4" t="s">
        <v>28</v>
      </c>
      <c r="N231" s="4" t="s">
        <v>28</v>
      </c>
      <c r="O231" s="4" t="s">
        <v>28</v>
      </c>
      <c r="P231" s="4" t="s">
        <v>28</v>
      </c>
      <c r="Q231" s="4" t="s">
        <v>28</v>
      </c>
      <c r="R231" s="8">
        <v>46254.774839050922</v>
      </c>
      <c r="S231" s="4" t="s">
        <v>29</v>
      </c>
      <c r="T231" s="4" t="s">
        <v>30</v>
      </c>
    </row>
    <row r="232" spans="1:20" x14ac:dyDescent="0.3">
      <c r="A232" s="4" t="s">
        <v>21</v>
      </c>
      <c r="B232" s="4" t="s">
        <v>60</v>
      </c>
      <c r="C232" s="4" t="s">
        <v>32</v>
      </c>
      <c r="D232" s="5">
        <v>0.05</v>
      </c>
      <c r="E232" s="4" t="s">
        <v>24</v>
      </c>
      <c r="F232" s="4" t="s">
        <v>25</v>
      </c>
      <c r="G232" s="4" t="s">
        <v>26</v>
      </c>
      <c r="H232" s="4" t="s">
        <v>31</v>
      </c>
      <c r="I232" s="6">
        <v>785131.47149100003</v>
      </c>
      <c r="J232" s="7">
        <v>0.01</v>
      </c>
      <c r="K232" s="7">
        <v>9.9999997764825821E-3</v>
      </c>
      <c r="L232" s="4" t="s">
        <v>28</v>
      </c>
      <c r="M232" s="4" t="s">
        <v>28</v>
      </c>
      <c r="N232" s="4" t="s">
        <v>28</v>
      </c>
      <c r="O232" s="4" t="s">
        <v>28</v>
      </c>
      <c r="P232" s="4" t="s">
        <v>28</v>
      </c>
      <c r="Q232" s="4" t="s">
        <v>28</v>
      </c>
      <c r="R232" s="8">
        <v>46254.774839050922</v>
      </c>
      <c r="S232" s="4" t="s">
        <v>29</v>
      </c>
      <c r="T232" s="4" t="s">
        <v>30</v>
      </c>
    </row>
    <row r="233" spans="1:20" x14ac:dyDescent="0.3">
      <c r="A233" s="4" t="s">
        <v>21</v>
      </c>
      <c r="B233" s="4" t="s">
        <v>60</v>
      </c>
      <c r="C233" s="4" t="s">
        <v>32</v>
      </c>
      <c r="D233" s="5">
        <v>0.1</v>
      </c>
      <c r="E233" s="4" t="s">
        <v>24</v>
      </c>
      <c r="F233" s="4" t="s">
        <v>25</v>
      </c>
      <c r="G233" s="4" t="s">
        <v>26</v>
      </c>
      <c r="H233" s="4" t="s">
        <v>27</v>
      </c>
      <c r="I233" s="6">
        <v>198.62004300000001</v>
      </c>
      <c r="J233" s="7">
        <v>0.01</v>
      </c>
      <c r="K233" s="7">
        <v>9.9999997764825821E-3</v>
      </c>
      <c r="L233" s="4" t="s">
        <v>28</v>
      </c>
      <c r="M233" s="4" t="s">
        <v>28</v>
      </c>
      <c r="N233" s="4" t="s">
        <v>28</v>
      </c>
      <c r="O233" s="4" t="s">
        <v>28</v>
      </c>
      <c r="P233" s="4" t="s">
        <v>28</v>
      </c>
      <c r="Q233" s="4" t="s">
        <v>28</v>
      </c>
      <c r="R233" s="8">
        <v>46254.774849907408</v>
      </c>
      <c r="S233" s="4" t="s">
        <v>29</v>
      </c>
      <c r="T233" s="4" t="s">
        <v>30</v>
      </c>
    </row>
    <row r="234" spans="1:20" x14ac:dyDescent="0.3">
      <c r="A234" s="4" t="s">
        <v>21</v>
      </c>
      <c r="B234" s="4" t="s">
        <v>60</v>
      </c>
      <c r="C234" s="4" t="s">
        <v>32</v>
      </c>
      <c r="D234" s="5">
        <v>0.1</v>
      </c>
      <c r="E234" s="4" t="s">
        <v>24</v>
      </c>
      <c r="F234" s="4" t="s">
        <v>25</v>
      </c>
      <c r="G234" s="4" t="s">
        <v>26</v>
      </c>
      <c r="H234" s="4" t="s">
        <v>31</v>
      </c>
      <c r="I234" s="6">
        <v>785115.878103</v>
      </c>
      <c r="J234" s="7">
        <v>0.01</v>
      </c>
      <c r="K234" s="7">
        <v>9.9999997764825821E-3</v>
      </c>
      <c r="L234" s="4" t="s">
        <v>28</v>
      </c>
      <c r="M234" s="4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8">
        <v>46254.774849907408</v>
      </c>
      <c r="S234" s="4" t="s">
        <v>29</v>
      </c>
      <c r="T234" s="4" t="s">
        <v>30</v>
      </c>
    </row>
    <row r="235" spans="1:20" x14ac:dyDescent="0.3">
      <c r="A235" s="4" t="s">
        <v>21</v>
      </c>
      <c r="B235" s="4" t="s">
        <v>61</v>
      </c>
      <c r="C235" s="4" t="s">
        <v>23</v>
      </c>
      <c r="D235" s="5">
        <v>0.05</v>
      </c>
      <c r="E235" s="4" t="s">
        <v>24</v>
      </c>
      <c r="F235" s="4" t="s">
        <v>25</v>
      </c>
      <c r="G235" s="4" t="s">
        <v>26</v>
      </c>
      <c r="H235" s="4" t="s">
        <v>27</v>
      </c>
      <c r="I235" s="6">
        <v>80.563286000000005</v>
      </c>
      <c r="J235" s="7">
        <v>0.01</v>
      </c>
      <c r="K235" s="7">
        <v>9.9999997764825821E-3</v>
      </c>
      <c r="L235" s="4" t="s">
        <v>28</v>
      </c>
      <c r="M235" s="4" t="s">
        <v>28</v>
      </c>
      <c r="N235" s="4" t="s">
        <v>28</v>
      </c>
      <c r="O235" s="4" t="s">
        <v>28</v>
      </c>
      <c r="P235" s="4" t="s">
        <v>28</v>
      </c>
      <c r="Q235" s="4" t="s">
        <v>28</v>
      </c>
      <c r="R235" s="8">
        <v>46254.775016458327</v>
      </c>
      <c r="S235" s="4" t="s">
        <v>29</v>
      </c>
      <c r="T235" s="4" t="s">
        <v>30</v>
      </c>
    </row>
    <row r="236" spans="1:20" x14ac:dyDescent="0.3">
      <c r="A236" s="4" t="s">
        <v>21</v>
      </c>
      <c r="B236" s="4" t="s">
        <v>61</v>
      </c>
      <c r="C236" s="4" t="s">
        <v>23</v>
      </c>
      <c r="D236" s="5">
        <v>0.05</v>
      </c>
      <c r="E236" s="4" t="s">
        <v>24</v>
      </c>
      <c r="F236" s="4" t="s">
        <v>25</v>
      </c>
      <c r="G236" s="4" t="s">
        <v>26</v>
      </c>
      <c r="H236" s="4" t="s">
        <v>31</v>
      </c>
      <c r="I236" s="6">
        <v>678833.42086399999</v>
      </c>
      <c r="J236" s="7">
        <v>0.01</v>
      </c>
      <c r="K236" s="7">
        <v>9.9999997764825821E-3</v>
      </c>
      <c r="L236" s="4" t="s">
        <v>28</v>
      </c>
      <c r="M236" s="4" t="s">
        <v>28</v>
      </c>
      <c r="N236" s="4" t="s">
        <v>28</v>
      </c>
      <c r="O236" s="4" t="s">
        <v>28</v>
      </c>
      <c r="P236" s="4" t="s">
        <v>28</v>
      </c>
      <c r="Q236" s="4" t="s">
        <v>28</v>
      </c>
      <c r="R236" s="8">
        <v>46254.775016458327</v>
      </c>
      <c r="S236" s="4" t="s">
        <v>29</v>
      </c>
      <c r="T236" s="4" t="s">
        <v>30</v>
      </c>
    </row>
    <row r="237" spans="1:20" x14ac:dyDescent="0.3">
      <c r="A237" s="4" t="s">
        <v>21</v>
      </c>
      <c r="B237" s="4" t="s">
        <v>61</v>
      </c>
      <c r="C237" s="4" t="s">
        <v>23</v>
      </c>
      <c r="D237" s="5">
        <v>0.1</v>
      </c>
      <c r="E237" s="4" t="s">
        <v>24</v>
      </c>
      <c r="F237" s="4" t="s">
        <v>25</v>
      </c>
      <c r="G237" s="4" t="s">
        <v>26</v>
      </c>
      <c r="H237" s="4" t="s">
        <v>27</v>
      </c>
      <c r="I237" s="6">
        <v>75.079644999999999</v>
      </c>
      <c r="J237" s="7">
        <v>0.01</v>
      </c>
      <c r="K237" s="7">
        <v>9.9999997764825821E-3</v>
      </c>
      <c r="L237" s="4" t="s">
        <v>28</v>
      </c>
      <c r="M237" s="4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8">
        <v>46254.775023125003</v>
      </c>
      <c r="S237" s="4" t="s">
        <v>29</v>
      </c>
      <c r="T237" s="4" t="s">
        <v>30</v>
      </c>
    </row>
    <row r="238" spans="1:20" x14ac:dyDescent="0.3">
      <c r="A238" s="4" t="s">
        <v>21</v>
      </c>
      <c r="B238" s="4" t="s">
        <v>61</v>
      </c>
      <c r="C238" s="4" t="s">
        <v>23</v>
      </c>
      <c r="D238" s="5">
        <v>0.1</v>
      </c>
      <c r="E238" s="4" t="s">
        <v>24</v>
      </c>
      <c r="F238" s="4" t="s">
        <v>25</v>
      </c>
      <c r="G238" s="4" t="s">
        <v>26</v>
      </c>
      <c r="H238" s="4" t="s">
        <v>31</v>
      </c>
      <c r="I238" s="6">
        <v>678827.93722399999</v>
      </c>
      <c r="J238" s="7">
        <v>0.01</v>
      </c>
      <c r="K238" s="7">
        <v>9.9999997764825821E-3</v>
      </c>
      <c r="L238" s="4" t="s">
        <v>28</v>
      </c>
      <c r="M238" s="4" t="s">
        <v>28</v>
      </c>
      <c r="N238" s="4" t="s">
        <v>28</v>
      </c>
      <c r="O238" s="4" t="s">
        <v>28</v>
      </c>
      <c r="P238" s="4" t="s">
        <v>28</v>
      </c>
      <c r="Q238" s="4" t="s">
        <v>28</v>
      </c>
      <c r="R238" s="8">
        <v>46254.775023125003</v>
      </c>
      <c r="S238" s="4" t="s">
        <v>29</v>
      </c>
      <c r="T238" s="4" t="s">
        <v>30</v>
      </c>
    </row>
    <row r="239" spans="1:20" x14ac:dyDescent="0.3">
      <c r="A239" s="4" t="s">
        <v>21</v>
      </c>
      <c r="B239" s="4" t="s">
        <v>61</v>
      </c>
      <c r="C239" s="4" t="s">
        <v>32</v>
      </c>
      <c r="D239" s="5">
        <v>0.05</v>
      </c>
      <c r="E239" s="4" t="s">
        <v>24</v>
      </c>
      <c r="F239" s="4" t="s">
        <v>25</v>
      </c>
      <c r="G239" s="4" t="s">
        <v>26</v>
      </c>
      <c r="H239" s="4" t="s">
        <v>27</v>
      </c>
      <c r="I239" s="6">
        <v>72.521474999999995</v>
      </c>
      <c r="J239" s="7">
        <v>0.01</v>
      </c>
      <c r="K239" s="7">
        <v>9.9999997764825821E-3</v>
      </c>
      <c r="L239" s="4" t="s">
        <v>28</v>
      </c>
      <c r="M239" s="4" t="s">
        <v>28</v>
      </c>
      <c r="N239" s="4" t="s">
        <v>28</v>
      </c>
      <c r="O239" s="4" t="s">
        <v>28</v>
      </c>
      <c r="P239" s="4" t="s">
        <v>28</v>
      </c>
      <c r="Q239" s="4" t="s">
        <v>28</v>
      </c>
      <c r="R239" s="8">
        <v>46254.775028090276</v>
      </c>
      <c r="S239" s="4" t="s">
        <v>29</v>
      </c>
      <c r="T239" s="4" t="s">
        <v>30</v>
      </c>
    </row>
    <row r="240" spans="1:20" x14ac:dyDescent="0.3">
      <c r="A240" s="4" t="s">
        <v>21</v>
      </c>
      <c r="B240" s="4" t="s">
        <v>61</v>
      </c>
      <c r="C240" s="4" t="s">
        <v>32</v>
      </c>
      <c r="D240" s="5">
        <v>0.05</v>
      </c>
      <c r="E240" s="4" t="s">
        <v>24</v>
      </c>
      <c r="F240" s="4" t="s">
        <v>25</v>
      </c>
      <c r="G240" s="4" t="s">
        <v>26</v>
      </c>
      <c r="H240" s="4" t="s">
        <v>31</v>
      </c>
      <c r="I240" s="6">
        <v>785022.37476599996</v>
      </c>
      <c r="J240" s="7">
        <v>0.01</v>
      </c>
      <c r="K240" s="7">
        <v>9.9999997764825821E-3</v>
      </c>
      <c r="L240" s="4" t="s">
        <v>28</v>
      </c>
      <c r="M240" s="4" t="s">
        <v>28</v>
      </c>
      <c r="N240" s="4" t="s">
        <v>28</v>
      </c>
      <c r="O240" s="4" t="s">
        <v>28</v>
      </c>
      <c r="P240" s="4" t="s">
        <v>28</v>
      </c>
      <c r="Q240" s="4" t="s">
        <v>28</v>
      </c>
      <c r="R240" s="8">
        <v>46254.775028090276</v>
      </c>
      <c r="S240" s="4" t="s">
        <v>29</v>
      </c>
      <c r="T240" s="4" t="s">
        <v>30</v>
      </c>
    </row>
    <row r="241" spans="1:20" x14ac:dyDescent="0.3">
      <c r="A241" s="4" t="s">
        <v>21</v>
      </c>
      <c r="B241" s="4" t="s">
        <v>61</v>
      </c>
      <c r="C241" s="4" t="s">
        <v>32</v>
      </c>
      <c r="D241" s="5">
        <v>0.1</v>
      </c>
      <c r="E241" s="4" t="s">
        <v>24</v>
      </c>
      <c r="F241" s="4" t="s">
        <v>25</v>
      </c>
      <c r="G241" s="4" t="s">
        <v>26</v>
      </c>
      <c r="H241" s="4" t="s">
        <v>27</v>
      </c>
      <c r="I241" s="6">
        <v>67.657959000000005</v>
      </c>
      <c r="J241" s="7">
        <v>0.01</v>
      </c>
      <c r="K241" s="7">
        <v>9.9999997764825821E-3</v>
      </c>
      <c r="L241" s="4" t="s">
        <v>28</v>
      </c>
      <c r="M241" s="4" t="s">
        <v>28</v>
      </c>
      <c r="N241" s="4" t="s">
        <v>28</v>
      </c>
      <c r="O241" s="4" t="s">
        <v>28</v>
      </c>
      <c r="P241" s="4" t="s">
        <v>28</v>
      </c>
      <c r="Q241" s="4" t="s">
        <v>28</v>
      </c>
      <c r="R241" s="8">
        <v>46254.775028865741</v>
      </c>
      <c r="S241" s="4" t="s">
        <v>29</v>
      </c>
      <c r="T241" s="4" t="s">
        <v>30</v>
      </c>
    </row>
    <row r="242" spans="1:20" x14ac:dyDescent="0.3">
      <c r="A242" s="4" t="s">
        <v>21</v>
      </c>
      <c r="B242" s="4" t="s">
        <v>61</v>
      </c>
      <c r="C242" s="4" t="s">
        <v>32</v>
      </c>
      <c r="D242" s="5">
        <v>0.1</v>
      </c>
      <c r="E242" s="4" t="s">
        <v>24</v>
      </c>
      <c r="F242" s="4" t="s">
        <v>25</v>
      </c>
      <c r="G242" s="4" t="s">
        <v>26</v>
      </c>
      <c r="H242" s="4" t="s">
        <v>31</v>
      </c>
      <c r="I242" s="6">
        <v>785017.51124999998</v>
      </c>
      <c r="J242" s="7">
        <v>0.01</v>
      </c>
      <c r="K242" s="7">
        <v>9.9999997764825821E-3</v>
      </c>
      <c r="L242" s="4" t="s">
        <v>28</v>
      </c>
      <c r="M242" s="4" t="s">
        <v>28</v>
      </c>
      <c r="N242" s="4" t="s">
        <v>28</v>
      </c>
      <c r="O242" s="4" t="s">
        <v>28</v>
      </c>
      <c r="P242" s="4" t="s">
        <v>28</v>
      </c>
      <c r="Q242" s="4" t="s">
        <v>28</v>
      </c>
      <c r="R242" s="8">
        <v>46254.775028865741</v>
      </c>
      <c r="S242" s="4" t="s">
        <v>29</v>
      </c>
      <c r="T242" s="4" t="s">
        <v>30</v>
      </c>
    </row>
    <row r="243" spans="1:20" x14ac:dyDescent="0.3">
      <c r="A243" s="4" t="s">
        <v>21</v>
      </c>
      <c r="B243" s="4" t="s">
        <v>62</v>
      </c>
      <c r="C243" s="4" t="s">
        <v>23</v>
      </c>
      <c r="D243" s="5">
        <v>0.05</v>
      </c>
      <c r="E243" s="4" t="s">
        <v>24</v>
      </c>
      <c r="F243" s="4" t="s">
        <v>25</v>
      </c>
      <c r="G243" s="4" t="s">
        <v>26</v>
      </c>
      <c r="H243" s="4" t="s">
        <v>27</v>
      </c>
      <c r="I243" s="6">
        <v>22.738443</v>
      </c>
      <c r="J243" s="7">
        <v>0.01</v>
      </c>
      <c r="K243" s="7">
        <v>9.9999997764825821E-3</v>
      </c>
      <c r="L243" s="4" t="s">
        <v>28</v>
      </c>
      <c r="M243" s="4" t="s">
        <v>28</v>
      </c>
      <c r="N243" s="4" t="s">
        <v>28</v>
      </c>
      <c r="O243" s="4" t="s">
        <v>28</v>
      </c>
      <c r="P243" s="4" t="s">
        <v>28</v>
      </c>
      <c r="Q243" s="4" t="s">
        <v>28</v>
      </c>
      <c r="R243" s="8">
        <v>46254.77519803241</v>
      </c>
      <c r="S243" s="4" t="s">
        <v>29</v>
      </c>
      <c r="T243" s="4" t="s">
        <v>30</v>
      </c>
    </row>
    <row r="244" spans="1:20" x14ac:dyDescent="0.3">
      <c r="A244" s="4" t="s">
        <v>21</v>
      </c>
      <c r="B244" s="4" t="s">
        <v>62</v>
      </c>
      <c r="C244" s="4" t="s">
        <v>23</v>
      </c>
      <c r="D244" s="5">
        <v>0.05</v>
      </c>
      <c r="E244" s="4" t="s">
        <v>24</v>
      </c>
      <c r="F244" s="4" t="s">
        <v>25</v>
      </c>
      <c r="G244" s="4" t="s">
        <v>26</v>
      </c>
      <c r="H244" s="4" t="s">
        <v>31</v>
      </c>
      <c r="I244" s="6">
        <v>678781.05707099999</v>
      </c>
      <c r="J244" s="7">
        <v>0.01</v>
      </c>
      <c r="K244" s="7">
        <v>9.9999997764825821E-3</v>
      </c>
      <c r="L244" s="4" t="s">
        <v>28</v>
      </c>
      <c r="M244" s="4" t="s">
        <v>28</v>
      </c>
      <c r="N244" s="4" t="s">
        <v>28</v>
      </c>
      <c r="O244" s="4" t="s">
        <v>28</v>
      </c>
      <c r="P244" s="4" t="s">
        <v>28</v>
      </c>
      <c r="Q244" s="4" t="s">
        <v>28</v>
      </c>
      <c r="R244" s="8">
        <v>46254.77519803241</v>
      </c>
      <c r="S244" s="4" t="s">
        <v>29</v>
      </c>
      <c r="T244" s="4" t="s">
        <v>30</v>
      </c>
    </row>
    <row r="245" spans="1:20" x14ac:dyDescent="0.3">
      <c r="A245" s="4" t="s">
        <v>21</v>
      </c>
      <c r="B245" s="4" t="s">
        <v>62</v>
      </c>
      <c r="C245" s="4" t="s">
        <v>23</v>
      </c>
      <c r="D245" s="5">
        <v>0.1</v>
      </c>
      <c r="E245" s="4" t="s">
        <v>24</v>
      </c>
      <c r="F245" s="4" t="s">
        <v>25</v>
      </c>
      <c r="G245" s="4" t="s">
        <v>26</v>
      </c>
      <c r="H245" s="4" t="s">
        <v>27</v>
      </c>
      <c r="I245" s="6">
        <v>21.066541999999998</v>
      </c>
      <c r="J245" s="7">
        <v>0.01</v>
      </c>
      <c r="K245" s="7">
        <v>9.9999997764825821E-3</v>
      </c>
      <c r="L245" s="4" t="s">
        <v>28</v>
      </c>
      <c r="M245" s="4" t="s">
        <v>28</v>
      </c>
      <c r="N245" s="4" t="s">
        <v>28</v>
      </c>
      <c r="O245" s="4" t="s">
        <v>28</v>
      </c>
      <c r="P245" s="4" t="s">
        <v>28</v>
      </c>
      <c r="Q245" s="4" t="s">
        <v>28</v>
      </c>
      <c r="R245" s="8">
        <v>46254.775199502314</v>
      </c>
      <c r="S245" s="4" t="s">
        <v>29</v>
      </c>
      <c r="T245" s="4" t="s">
        <v>30</v>
      </c>
    </row>
    <row r="246" spans="1:20" x14ac:dyDescent="0.3">
      <c r="A246" s="4" t="s">
        <v>21</v>
      </c>
      <c r="B246" s="4" t="s">
        <v>62</v>
      </c>
      <c r="C246" s="4" t="s">
        <v>23</v>
      </c>
      <c r="D246" s="5">
        <v>0.1</v>
      </c>
      <c r="E246" s="4" t="s">
        <v>24</v>
      </c>
      <c r="F246" s="4" t="s">
        <v>25</v>
      </c>
      <c r="G246" s="4" t="s">
        <v>26</v>
      </c>
      <c r="H246" s="4" t="s">
        <v>31</v>
      </c>
      <c r="I246" s="6">
        <v>678779.38517000002</v>
      </c>
      <c r="J246" s="7">
        <v>0.01</v>
      </c>
      <c r="K246" s="7">
        <v>9.9999997764825821E-3</v>
      </c>
      <c r="L246" s="4" t="s">
        <v>28</v>
      </c>
      <c r="M246" s="4" t="s">
        <v>28</v>
      </c>
      <c r="N246" s="4" t="s">
        <v>28</v>
      </c>
      <c r="O246" s="4" t="s">
        <v>28</v>
      </c>
      <c r="P246" s="4" t="s">
        <v>28</v>
      </c>
      <c r="Q246" s="4" t="s">
        <v>28</v>
      </c>
      <c r="R246" s="8">
        <v>46254.775199502314</v>
      </c>
      <c r="S246" s="4" t="s">
        <v>29</v>
      </c>
      <c r="T246" s="4" t="s">
        <v>30</v>
      </c>
    </row>
    <row r="247" spans="1:20" x14ac:dyDescent="0.3">
      <c r="A247" s="4" t="s">
        <v>21</v>
      </c>
      <c r="B247" s="4" t="s">
        <v>62</v>
      </c>
      <c r="C247" s="4" t="s">
        <v>32</v>
      </c>
      <c r="D247" s="5">
        <v>0.05</v>
      </c>
      <c r="E247" s="4" t="s">
        <v>24</v>
      </c>
      <c r="F247" s="4" t="s">
        <v>25</v>
      </c>
      <c r="G247" s="4" t="s">
        <v>26</v>
      </c>
      <c r="H247" s="4" t="s">
        <v>27</v>
      </c>
      <c r="I247" s="6">
        <v>21.167072000000001</v>
      </c>
      <c r="J247" s="7">
        <v>0.01</v>
      </c>
      <c r="K247" s="7">
        <v>9.9999997764825821E-3</v>
      </c>
      <c r="L247" s="4" t="s">
        <v>28</v>
      </c>
      <c r="M247" s="4" t="s">
        <v>28</v>
      </c>
      <c r="N247" s="4" t="s">
        <v>28</v>
      </c>
      <c r="O247" s="4" t="s">
        <v>28</v>
      </c>
      <c r="P247" s="4" t="s">
        <v>28</v>
      </c>
      <c r="Q247" s="4" t="s">
        <v>28</v>
      </c>
      <c r="R247" s="8">
        <v>46254.775201157398</v>
      </c>
      <c r="S247" s="4" t="s">
        <v>29</v>
      </c>
      <c r="T247" s="4" t="s">
        <v>30</v>
      </c>
    </row>
    <row r="248" spans="1:20" x14ac:dyDescent="0.3">
      <c r="A248" s="4" t="s">
        <v>21</v>
      </c>
      <c r="B248" s="4" t="s">
        <v>62</v>
      </c>
      <c r="C248" s="4" t="s">
        <v>32</v>
      </c>
      <c r="D248" s="5">
        <v>0.05</v>
      </c>
      <c r="E248" s="4" t="s">
        <v>24</v>
      </c>
      <c r="F248" s="4" t="s">
        <v>25</v>
      </c>
      <c r="G248" s="4" t="s">
        <v>26</v>
      </c>
      <c r="H248" s="4" t="s">
        <v>31</v>
      </c>
      <c r="I248" s="6">
        <v>784975.75944099994</v>
      </c>
      <c r="J248" s="7">
        <v>0.01</v>
      </c>
      <c r="K248" s="7">
        <v>9.9999997764825821E-3</v>
      </c>
      <c r="L248" s="4" t="s">
        <v>28</v>
      </c>
      <c r="M248" s="4" t="s">
        <v>28</v>
      </c>
      <c r="N248" s="4" t="s">
        <v>28</v>
      </c>
      <c r="O248" s="4" t="s">
        <v>28</v>
      </c>
      <c r="P248" s="4" t="s">
        <v>28</v>
      </c>
      <c r="Q248" s="4" t="s">
        <v>28</v>
      </c>
      <c r="R248" s="8">
        <v>46254.775201157398</v>
      </c>
      <c r="S248" s="4" t="s">
        <v>29</v>
      </c>
      <c r="T248" s="4" t="s">
        <v>30</v>
      </c>
    </row>
    <row r="249" spans="1:20" x14ac:dyDescent="0.3">
      <c r="A249" s="4" t="s">
        <v>21</v>
      </c>
      <c r="B249" s="4" t="s">
        <v>62</v>
      </c>
      <c r="C249" s="4" t="s">
        <v>32</v>
      </c>
      <c r="D249" s="5">
        <v>0.1</v>
      </c>
      <c r="E249" s="4" t="s">
        <v>24</v>
      </c>
      <c r="F249" s="4" t="s">
        <v>25</v>
      </c>
      <c r="G249" s="4" t="s">
        <v>26</v>
      </c>
      <c r="H249" s="4" t="s">
        <v>27</v>
      </c>
      <c r="I249" s="6">
        <v>19.623823999999999</v>
      </c>
      <c r="J249" s="7">
        <v>0.01</v>
      </c>
      <c r="K249" s="7">
        <v>9.9999997764825821E-3</v>
      </c>
      <c r="L249" s="4" t="s">
        <v>28</v>
      </c>
      <c r="M249" s="4" t="s">
        <v>28</v>
      </c>
      <c r="N249" s="4" t="s">
        <v>28</v>
      </c>
      <c r="O249" s="4" t="s">
        <v>28</v>
      </c>
      <c r="P249" s="4" t="s">
        <v>28</v>
      </c>
      <c r="Q249" s="4" t="s">
        <v>28</v>
      </c>
      <c r="R249" s="8">
        <v>46254.775202743047</v>
      </c>
      <c r="S249" s="4" t="s">
        <v>29</v>
      </c>
      <c r="T249" s="4" t="s">
        <v>30</v>
      </c>
    </row>
    <row r="250" spans="1:20" x14ac:dyDescent="0.3">
      <c r="A250" s="4" t="s">
        <v>21</v>
      </c>
      <c r="B250" s="4" t="s">
        <v>62</v>
      </c>
      <c r="C250" s="4" t="s">
        <v>32</v>
      </c>
      <c r="D250" s="5">
        <v>0.1</v>
      </c>
      <c r="E250" s="4" t="s">
        <v>24</v>
      </c>
      <c r="F250" s="4" t="s">
        <v>25</v>
      </c>
      <c r="G250" s="4" t="s">
        <v>26</v>
      </c>
      <c r="H250" s="4" t="s">
        <v>31</v>
      </c>
      <c r="I250" s="6">
        <v>784974.21619299997</v>
      </c>
      <c r="J250" s="7">
        <v>0.01</v>
      </c>
      <c r="K250" s="7">
        <v>9.9999997764825821E-3</v>
      </c>
      <c r="L250" s="4" t="s">
        <v>28</v>
      </c>
      <c r="M250" s="4" t="s">
        <v>28</v>
      </c>
      <c r="N250" s="4" t="s">
        <v>28</v>
      </c>
      <c r="O250" s="4" t="s">
        <v>28</v>
      </c>
      <c r="P250" s="4" t="s">
        <v>28</v>
      </c>
      <c r="Q250" s="4" t="s">
        <v>28</v>
      </c>
      <c r="R250" s="8">
        <v>46254.775202743047</v>
      </c>
      <c r="S250" s="4" t="s">
        <v>29</v>
      </c>
      <c r="T250" s="4" t="s">
        <v>30</v>
      </c>
    </row>
    <row r="251" spans="1:20" x14ac:dyDescent="0.3">
      <c r="A251" s="4" t="s">
        <v>21</v>
      </c>
      <c r="B251" s="4" t="s">
        <v>63</v>
      </c>
      <c r="C251" s="4" t="s">
        <v>23</v>
      </c>
      <c r="D251" s="5">
        <v>0.05</v>
      </c>
      <c r="E251" s="4" t="s">
        <v>24</v>
      </c>
      <c r="F251" s="4" t="s">
        <v>25</v>
      </c>
      <c r="G251" s="4" t="s">
        <v>26</v>
      </c>
      <c r="H251" s="4" t="s">
        <v>27</v>
      </c>
      <c r="I251" s="6">
        <v>8.7704869999999993</v>
      </c>
      <c r="J251" s="7">
        <v>0.01</v>
      </c>
      <c r="K251" s="7">
        <v>9.9999997764825821E-3</v>
      </c>
      <c r="L251" s="4" t="s">
        <v>28</v>
      </c>
      <c r="M251" s="4" t="s">
        <v>28</v>
      </c>
      <c r="N251" s="4" t="s">
        <v>28</v>
      </c>
      <c r="O251" s="4" t="s">
        <v>28</v>
      </c>
      <c r="P251" s="4" t="s">
        <v>28</v>
      </c>
      <c r="Q251" s="4" t="s">
        <v>28</v>
      </c>
      <c r="R251" s="8">
        <v>46254.775506851853</v>
      </c>
      <c r="S251" s="4" t="s">
        <v>29</v>
      </c>
      <c r="T251" s="4" t="s">
        <v>30</v>
      </c>
    </row>
    <row r="252" spans="1:20" x14ac:dyDescent="0.3">
      <c r="A252" s="4" t="s">
        <v>21</v>
      </c>
      <c r="B252" s="4" t="s">
        <v>63</v>
      </c>
      <c r="C252" s="4" t="s">
        <v>23</v>
      </c>
      <c r="D252" s="5">
        <v>0.05</v>
      </c>
      <c r="E252" s="4" t="s">
        <v>24</v>
      </c>
      <c r="F252" s="4" t="s">
        <v>25</v>
      </c>
      <c r="G252" s="4" t="s">
        <v>26</v>
      </c>
      <c r="H252" s="4" t="s">
        <v>31</v>
      </c>
      <c r="I252" s="6">
        <v>678771.05795799999</v>
      </c>
      <c r="J252" s="7">
        <v>0.01</v>
      </c>
      <c r="K252" s="7">
        <v>9.9999997764825821E-3</v>
      </c>
      <c r="L252" s="4" t="s">
        <v>28</v>
      </c>
      <c r="M252" s="4" t="s">
        <v>28</v>
      </c>
      <c r="N252" s="4" t="s">
        <v>28</v>
      </c>
      <c r="O252" s="4" t="s">
        <v>28</v>
      </c>
      <c r="P252" s="4" t="s">
        <v>28</v>
      </c>
      <c r="Q252" s="4" t="s">
        <v>28</v>
      </c>
      <c r="R252" s="8">
        <v>46254.775506851853</v>
      </c>
      <c r="S252" s="4" t="s">
        <v>29</v>
      </c>
      <c r="T252" s="4" t="s">
        <v>30</v>
      </c>
    </row>
    <row r="253" spans="1:20" x14ac:dyDescent="0.3">
      <c r="A253" s="4" t="s">
        <v>21</v>
      </c>
      <c r="B253" s="4" t="s">
        <v>63</v>
      </c>
      <c r="C253" s="4" t="s">
        <v>23</v>
      </c>
      <c r="D253" s="5">
        <v>0.1</v>
      </c>
      <c r="E253" s="4" t="s">
        <v>24</v>
      </c>
      <c r="F253" s="4" t="s">
        <v>25</v>
      </c>
      <c r="G253" s="4" t="s">
        <v>26</v>
      </c>
      <c r="H253" s="4" t="s">
        <v>27</v>
      </c>
      <c r="I253" s="6">
        <v>8.1291790000000006</v>
      </c>
      <c r="J253" s="7">
        <v>0.01</v>
      </c>
      <c r="K253" s="7">
        <v>9.9999997764825821E-3</v>
      </c>
      <c r="L253" s="4" t="s">
        <v>28</v>
      </c>
      <c r="M253" s="4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8">
        <v>46254.775507280086</v>
      </c>
      <c r="S253" s="4" t="s">
        <v>29</v>
      </c>
      <c r="T253" s="4" t="s">
        <v>30</v>
      </c>
    </row>
    <row r="254" spans="1:20" x14ac:dyDescent="0.3">
      <c r="A254" s="4" t="s">
        <v>21</v>
      </c>
      <c r="B254" s="4" t="s">
        <v>63</v>
      </c>
      <c r="C254" s="4" t="s">
        <v>23</v>
      </c>
      <c r="D254" s="5">
        <v>0.1</v>
      </c>
      <c r="E254" s="4" t="s">
        <v>24</v>
      </c>
      <c r="F254" s="4" t="s">
        <v>25</v>
      </c>
      <c r="G254" s="4" t="s">
        <v>26</v>
      </c>
      <c r="H254" s="4" t="s">
        <v>31</v>
      </c>
      <c r="I254" s="6">
        <v>678770.41664900002</v>
      </c>
      <c r="J254" s="7">
        <v>0.01</v>
      </c>
      <c r="K254" s="7">
        <v>9.9999997764825821E-3</v>
      </c>
      <c r="L254" s="4" t="s">
        <v>28</v>
      </c>
      <c r="M254" s="4" t="s">
        <v>28</v>
      </c>
      <c r="N254" s="4" t="s">
        <v>28</v>
      </c>
      <c r="O254" s="4" t="s">
        <v>28</v>
      </c>
      <c r="P254" s="4" t="s">
        <v>28</v>
      </c>
      <c r="Q254" s="4" t="s">
        <v>28</v>
      </c>
      <c r="R254" s="8">
        <v>46254.775507280086</v>
      </c>
      <c r="S254" s="4" t="s">
        <v>29</v>
      </c>
      <c r="T254" s="4" t="s">
        <v>30</v>
      </c>
    </row>
    <row r="255" spans="1:20" x14ac:dyDescent="0.3">
      <c r="A255" s="4" t="s">
        <v>21</v>
      </c>
      <c r="B255" s="4" t="s">
        <v>63</v>
      </c>
      <c r="C255" s="4" t="s">
        <v>32</v>
      </c>
      <c r="D255" s="5">
        <v>0.05</v>
      </c>
      <c r="E255" s="4" t="s">
        <v>24</v>
      </c>
      <c r="F255" s="4" t="s">
        <v>25</v>
      </c>
      <c r="G255" s="4" t="s">
        <v>26</v>
      </c>
      <c r="H255" s="4" t="s">
        <v>27</v>
      </c>
      <c r="I255" s="6">
        <v>8.4095099999999992</v>
      </c>
      <c r="J255" s="7">
        <v>0.01</v>
      </c>
      <c r="K255" s="7">
        <v>9.9999997764825821E-3</v>
      </c>
      <c r="L255" s="4" t="s">
        <v>28</v>
      </c>
      <c r="M255" s="4" t="s">
        <v>28</v>
      </c>
      <c r="N255" s="4" t="s">
        <v>28</v>
      </c>
      <c r="O255" s="4" t="s">
        <v>28</v>
      </c>
      <c r="P255" s="4" t="s">
        <v>28</v>
      </c>
      <c r="Q255" s="4" t="s">
        <v>28</v>
      </c>
      <c r="R255" s="8">
        <v>46254.775507708327</v>
      </c>
      <c r="S255" s="4" t="s">
        <v>29</v>
      </c>
      <c r="T255" s="4" t="s">
        <v>30</v>
      </c>
    </row>
    <row r="256" spans="1:20" x14ac:dyDescent="0.3">
      <c r="A256" s="4" t="s">
        <v>21</v>
      </c>
      <c r="B256" s="4" t="s">
        <v>63</v>
      </c>
      <c r="C256" s="4" t="s">
        <v>32</v>
      </c>
      <c r="D256" s="5">
        <v>0.05</v>
      </c>
      <c r="E256" s="4" t="s">
        <v>24</v>
      </c>
      <c r="F256" s="4" t="s">
        <v>25</v>
      </c>
      <c r="G256" s="4" t="s">
        <v>26</v>
      </c>
      <c r="H256" s="4" t="s">
        <v>31</v>
      </c>
      <c r="I256" s="6">
        <v>784966.61207499995</v>
      </c>
      <c r="J256" s="7">
        <v>0.01</v>
      </c>
      <c r="K256" s="7">
        <v>9.9999997764825821E-3</v>
      </c>
      <c r="L256" s="4" t="s">
        <v>28</v>
      </c>
      <c r="M256" s="4" t="s">
        <v>28</v>
      </c>
      <c r="N256" s="4" t="s">
        <v>28</v>
      </c>
      <c r="O256" s="4" t="s">
        <v>28</v>
      </c>
      <c r="P256" s="4" t="s">
        <v>28</v>
      </c>
      <c r="Q256" s="4" t="s">
        <v>28</v>
      </c>
      <c r="R256" s="8">
        <v>46254.775507708327</v>
      </c>
      <c r="S256" s="4" t="s">
        <v>29</v>
      </c>
      <c r="T256" s="4" t="s">
        <v>30</v>
      </c>
    </row>
    <row r="257" spans="1:20" x14ac:dyDescent="0.3">
      <c r="A257" s="4" t="s">
        <v>21</v>
      </c>
      <c r="B257" s="4" t="s">
        <v>63</v>
      </c>
      <c r="C257" s="4" t="s">
        <v>32</v>
      </c>
      <c r="D257" s="5">
        <v>0.1</v>
      </c>
      <c r="E257" s="4" t="s">
        <v>24</v>
      </c>
      <c r="F257" s="4" t="s">
        <v>25</v>
      </c>
      <c r="G257" s="4" t="s">
        <v>26</v>
      </c>
      <c r="H257" s="4" t="s">
        <v>27</v>
      </c>
      <c r="I257" s="6">
        <v>7.7967919999999999</v>
      </c>
      <c r="J257" s="7">
        <v>0.01</v>
      </c>
      <c r="K257" s="7">
        <v>9.9999997764825821E-3</v>
      </c>
      <c r="L257" s="4" t="s">
        <v>28</v>
      </c>
      <c r="M257" s="4" t="s">
        <v>28</v>
      </c>
      <c r="N257" s="4" t="s">
        <v>28</v>
      </c>
      <c r="O257" s="4" t="s">
        <v>28</v>
      </c>
      <c r="P257" s="4" t="s">
        <v>28</v>
      </c>
      <c r="Q257" s="4" t="s">
        <v>28</v>
      </c>
      <c r="R257" s="8">
        <v>46254.775508379629</v>
      </c>
      <c r="S257" s="4" t="s">
        <v>29</v>
      </c>
      <c r="T257" s="4" t="s">
        <v>30</v>
      </c>
    </row>
    <row r="258" spans="1:20" x14ac:dyDescent="0.3">
      <c r="A258" s="4" t="s">
        <v>21</v>
      </c>
      <c r="B258" s="4" t="s">
        <v>63</v>
      </c>
      <c r="C258" s="4" t="s">
        <v>32</v>
      </c>
      <c r="D258" s="5">
        <v>0.1</v>
      </c>
      <c r="E258" s="4" t="s">
        <v>24</v>
      </c>
      <c r="F258" s="4" t="s">
        <v>25</v>
      </c>
      <c r="G258" s="4" t="s">
        <v>26</v>
      </c>
      <c r="H258" s="4" t="s">
        <v>31</v>
      </c>
      <c r="I258" s="6">
        <v>784965.99935699999</v>
      </c>
      <c r="J258" s="7">
        <v>0.01</v>
      </c>
      <c r="K258" s="7">
        <v>9.9999997764825821E-3</v>
      </c>
      <c r="L258" s="4" t="s">
        <v>28</v>
      </c>
      <c r="M258" s="4" t="s">
        <v>28</v>
      </c>
      <c r="N258" s="4" t="s">
        <v>28</v>
      </c>
      <c r="O258" s="4" t="s">
        <v>28</v>
      </c>
      <c r="P258" s="4" t="s">
        <v>28</v>
      </c>
      <c r="Q258" s="4" t="s">
        <v>28</v>
      </c>
      <c r="R258" s="8">
        <v>46254.775508379629</v>
      </c>
      <c r="S258" s="4" t="s">
        <v>29</v>
      </c>
      <c r="T258" s="4" t="s">
        <v>30</v>
      </c>
    </row>
    <row r="259" spans="1:20" x14ac:dyDescent="0.3">
      <c r="A259" s="4" t="s">
        <v>21</v>
      </c>
      <c r="B259" s="4" t="s">
        <v>64</v>
      </c>
      <c r="C259" s="4" t="s">
        <v>23</v>
      </c>
      <c r="D259" s="5">
        <v>0.05</v>
      </c>
      <c r="E259" s="4" t="s">
        <v>24</v>
      </c>
      <c r="F259" s="4" t="s">
        <v>25</v>
      </c>
      <c r="G259" s="4" t="s">
        <v>26</v>
      </c>
      <c r="H259" s="4" t="s">
        <v>27</v>
      </c>
      <c r="I259" s="6">
        <v>2.2219310000000001</v>
      </c>
      <c r="J259" s="7">
        <v>0.01</v>
      </c>
      <c r="K259" s="7">
        <v>9.9999997764825821E-3</v>
      </c>
      <c r="L259" s="4" t="s">
        <v>28</v>
      </c>
      <c r="M259" s="4" t="s">
        <v>28</v>
      </c>
      <c r="N259" s="4" t="s">
        <v>28</v>
      </c>
      <c r="O259" s="4" t="s">
        <v>28</v>
      </c>
      <c r="P259" s="4" t="s">
        <v>28</v>
      </c>
      <c r="Q259" s="4" t="s">
        <v>28</v>
      </c>
      <c r="R259" s="8">
        <v>46254.775728136578</v>
      </c>
      <c r="S259" s="4" t="s">
        <v>29</v>
      </c>
      <c r="T259" s="4" t="s">
        <v>30</v>
      </c>
    </row>
    <row r="260" spans="1:20" x14ac:dyDescent="0.3">
      <c r="A260" s="4" t="s">
        <v>21</v>
      </c>
      <c r="B260" s="4" t="s">
        <v>64</v>
      </c>
      <c r="C260" s="4" t="s">
        <v>23</v>
      </c>
      <c r="D260" s="5">
        <v>0.05</v>
      </c>
      <c r="E260" s="4" t="s">
        <v>24</v>
      </c>
      <c r="F260" s="4" t="s">
        <v>25</v>
      </c>
      <c r="G260" s="4" t="s">
        <v>26</v>
      </c>
      <c r="H260" s="4" t="s">
        <v>31</v>
      </c>
      <c r="I260" s="6">
        <v>678766.93169899995</v>
      </c>
      <c r="J260" s="7">
        <v>0.01</v>
      </c>
      <c r="K260" s="7">
        <v>9.9999997764825821E-3</v>
      </c>
      <c r="L260" s="4" t="s">
        <v>28</v>
      </c>
      <c r="M260" s="4" t="s">
        <v>28</v>
      </c>
      <c r="N260" s="4" t="s">
        <v>28</v>
      </c>
      <c r="O260" s="4" t="s">
        <v>28</v>
      </c>
      <c r="P260" s="4" t="s">
        <v>28</v>
      </c>
      <c r="Q260" s="4" t="s">
        <v>28</v>
      </c>
      <c r="R260" s="8">
        <v>46254.775728136578</v>
      </c>
      <c r="S260" s="4" t="s">
        <v>29</v>
      </c>
      <c r="T260" s="4" t="s">
        <v>30</v>
      </c>
    </row>
    <row r="261" spans="1:20" x14ac:dyDescent="0.3">
      <c r="A261" s="4" t="s">
        <v>21</v>
      </c>
      <c r="B261" s="4" t="s">
        <v>64</v>
      </c>
      <c r="C261" s="4" t="s">
        <v>23</v>
      </c>
      <c r="D261" s="5">
        <v>0.1</v>
      </c>
      <c r="E261" s="4" t="s">
        <v>24</v>
      </c>
      <c r="F261" s="4" t="s">
        <v>25</v>
      </c>
      <c r="G261" s="4" t="s">
        <v>26</v>
      </c>
      <c r="H261" s="4" t="s">
        <v>27</v>
      </c>
      <c r="I261" s="6">
        <v>2.0647660000000001</v>
      </c>
      <c r="J261" s="7">
        <v>0.01</v>
      </c>
      <c r="K261" s="7">
        <v>9.9999997764825821E-3</v>
      </c>
      <c r="L261" s="4" t="s">
        <v>28</v>
      </c>
      <c r="M261" s="4" t="s">
        <v>28</v>
      </c>
      <c r="N261" s="4" t="s">
        <v>28</v>
      </c>
      <c r="O261" s="4" t="s">
        <v>28</v>
      </c>
      <c r="P261" s="4" t="s">
        <v>28</v>
      </c>
      <c r="Q261" s="4" t="s">
        <v>28</v>
      </c>
      <c r="R261" s="8">
        <v>46254.775747361113</v>
      </c>
      <c r="S261" s="4" t="s">
        <v>29</v>
      </c>
      <c r="T261" s="4" t="s">
        <v>30</v>
      </c>
    </row>
    <row r="262" spans="1:20" x14ac:dyDescent="0.3">
      <c r="A262" s="4" t="s">
        <v>21</v>
      </c>
      <c r="B262" s="4" t="s">
        <v>64</v>
      </c>
      <c r="C262" s="4" t="s">
        <v>23</v>
      </c>
      <c r="D262" s="5">
        <v>0.1</v>
      </c>
      <c r="E262" s="4" t="s">
        <v>24</v>
      </c>
      <c r="F262" s="4" t="s">
        <v>25</v>
      </c>
      <c r="G262" s="4" t="s">
        <v>26</v>
      </c>
      <c r="H262" s="4" t="s">
        <v>31</v>
      </c>
      <c r="I262" s="6">
        <v>678766.77453499998</v>
      </c>
      <c r="J262" s="7">
        <v>0.01</v>
      </c>
      <c r="K262" s="7">
        <v>9.9999997764825821E-3</v>
      </c>
      <c r="L262" s="4" t="s">
        <v>28</v>
      </c>
      <c r="M262" s="4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8">
        <v>46254.775747361113</v>
      </c>
      <c r="S262" s="4" t="s">
        <v>29</v>
      </c>
      <c r="T262" s="4" t="s">
        <v>30</v>
      </c>
    </row>
    <row r="263" spans="1:20" x14ac:dyDescent="0.3">
      <c r="A263" s="4" t="s">
        <v>21</v>
      </c>
      <c r="B263" s="4" t="s">
        <v>64</v>
      </c>
      <c r="C263" s="4" t="s">
        <v>32</v>
      </c>
      <c r="D263" s="5">
        <v>0.05</v>
      </c>
      <c r="E263" s="4" t="s">
        <v>24</v>
      </c>
      <c r="F263" s="4" t="s">
        <v>25</v>
      </c>
      <c r="G263" s="4" t="s">
        <v>26</v>
      </c>
      <c r="H263" s="4" t="s">
        <v>27</v>
      </c>
      <c r="I263" s="6">
        <v>2.1789809999999998</v>
      </c>
      <c r="J263" s="7">
        <v>0.01</v>
      </c>
      <c r="K263" s="7">
        <v>9.9999997764825821E-3</v>
      </c>
      <c r="L263" s="4" t="s">
        <v>28</v>
      </c>
      <c r="M263" s="4" t="s">
        <v>28</v>
      </c>
      <c r="N263" s="4" t="s">
        <v>28</v>
      </c>
      <c r="O263" s="4" t="s">
        <v>28</v>
      </c>
      <c r="P263" s="4" t="s">
        <v>28</v>
      </c>
      <c r="Q263" s="4" t="s">
        <v>28</v>
      </c>
      <c r="R263" s="8">
        <v>46254.775775532413</v>
      </c>
      <c r="S263" s="4" t="s">
        <v>29</v>
      </c>
      <c r="T263" s="4" t="s">
        <v>30</v>
      </c>
    </row>
    <row r="264" spans="1:20" x14ac:dyDescent="0.3">
      <c r="A264" s="4" t="s">
        <v>21</v>
      </c>
      <c r="B264" s="4" t="s">
        <v>64</v>
      </c>
      <c r="C264" s="4" t="s">
        <v>32</v>
      </c>
      <c r="D264" s="5">
        <v>0.05</v>
      </c>
      <c r="E264" s="4" t="s">
        <v>24</v>
      </c>
      <c r="F264" s="4" t="s">
        <v>25</v>
      </c>
      <c r="G264" s="4" t="s">
        <v>26</v>
      </c>
      <c r="H264" s="4" t="s">
        <v>31</v>
      </c>
      <c r="I264" s="6">
        <v>784962.68537099997</v>
      </c>
      <c r="J264" s="7">
        <v>0.01</v>
      </c>
      <c r="K264" s="7">
        <v>9.9999997764825821E-3</v>
      </c>
      <c r="L264" s="4" t="s">
        <v>28</v>
      </c>
      <c r="M264" s="4" t="s">
        <v>28</v>
      </c>
      <c r="N264" s="4" t="s">
        <v>28</v>
      </c>
      <c r="O264" s="4" t="s">
        <v>28</v>
      </c>
      <c r="P264" s="4" t="s">
        <v>28</v>
      </c>
      <c r="Q264" s="4" t="s">
        <v>28</v>
      </c>
      <c r="R264" s="8">
        <v>46254.775775532413</v>
      </c>
      <c r="S264" s="4" t="s">
        <v>29</v>
      </c>
      <c r="T264" s="4" t="s">
        <v>30</v>
      </c>
    </row>
    <row r="265" spans="1:20" x14ac:dyDescent="0.3">
      <c r="A265" s="4" t="s">
        <v>21</v>
      </c>
      <c r="B265" s="4" t="s">
        <v>64</v>
      </c>
      <c r="C265" s="4" t="s">
        <v>32</v>
      </c>
      <c r="D265" s="5">
        <v>0.1</v>
      </c>
      <c r="E265" s="4" t="s">
        <v>24</v>
      </c>
      <c r="F265" s="4" t="s">
        <v>25</v>
      </c>
      <c r="G265" s="4" t="s">
        <v>26</v>
      </c>
      <c r="H265" s="4" t="s">
        <v>27</v>
      </c>
      <c r="I265" s="6">
        <v>2.0248900000000001</v>
      </c>
      <c r="J265" s="7">
        <v>0.01</v>
      </c>
      <c r="K265" s="7">
        <v>9.9999997764825821E-3</v>
      </c>
      <c r="L265" s="4" t="s">
        <v>28</v>
      </c>
      <c r="M265" s="4" t="s">
        <v>28</v>
      </c>
      <c r="N265" s="4" t="s">
        <v>28</v>
      </c>
      <c r="O265" s="4" t="s">
        <v>28</v>
      </c>
      <c r="P265" s="4" t="s">
        <v>28</v>
      </c>
      <c r="Q265" s="4" t="s">
        <v>28</v>
      </c>
      <c r="R265" s="8">
        <v>46254.775789131942</v>
      </c>
      <c r="S265" s="4" t="s">
        <v>29</v>
      </c>
      <c r="T265" s="4" t="s">
        <v>30</v>
      </c>
    </row>
    <row r="266" spans="1:20" x14ac:dyDescent="0.3">
      <c r="A266" s="4" t="s">
        <v>21</v>
      </c>
      <c r="B266" s="4" t="s">
        <v>64</v>
      </c>
      <c r="C266" s="4" t="s">
        <v>32</v>
      </c>
      <c r="D266" s="5">
        <v>0.1</v>
      </c>
      <c r="E266" s="4" t="s">
        <v>24</v>
      </c>
      <c r="F266" s="4" t="s">
        <v>25</v>
      </c>
      <c r="G266" s="4" t="s">
        <v>26</v>
      </c>
      <c r="H266" s="4" t="s">
        <v>31</v>
      </c>
      <c r="I266" s="6">
        <v>784962.531281</v>
      </c>
      <c r="J266" s="7">
        <v>0.01</v>
      </c>
      <c r="K266" s="7">
        <v>9.9999997764825821E-3</v>
      </c>
      <c r="L266" s="4" t="s">
        <v>28</v>
      </c>
      <c r="M266" s="4" t="s">
        <v>28</v>
      </c>
      <c r="N266" s="4" t="s">
        <v>28</v>
      </c>
      <c r="O266" s="4" t="s">
        <v>28</v>
      </c>
      <c r="P266" s="4" t="s">
        <v>28</v>
      </c>
      <c r="Q266" s="4" t="s">
        <v>28</v>
      </c>
      <c r="R266" s="8">
        <v>46254.775789131942</v>
      </c>
      <c r="S266" s="4" t="s">
        <v>29</v>
      </c>
      <c r="T266" s="4" t="s">
        <v>30</v>
      </c>
    </row>
    <row r="267" spans="1:20" x14ac:dyDescent="0.3">
      <c r="A267" s="4" t="s">
        <v>21</v>
      </c>
      <c r="B267" s="4" t="s">
        <v>65</v>
      </c>
      <c r="C267" s="4" t="s">
        <v>23</v>
      </c>
      <c r="D267" s="5">
        <v>0.05</v>
      </c>
      <c r="E267" s="4" t="s">
        <v>24</v>
      </c>
      <c r="F267" s="4" t="s">
        <v>25</v>
      </c>
      <c r="G267" s="4" t="s">
        <v>26</v>
      </c>
      <c r="H267" s="4" t="s">
        <v>27</v>
      </c>
      <c r="I267" s="6">
        <v>2299.93379</v>
      </c>
      <c r="J267" s="7">
        <v>0.01</v>
      </c>
      <c r="K267" s="7">
        <v>9.9999997764825821E-3</v>
      </c>
      <c r="L267" s="4" t="s">
        <v>28</v>
      </c>
      <c r="M267" s="4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8">
        <v>46254.78318943287</v>
      </c>
      <c r="S267" s="4" t="s">
        <v>29</v>
      </c>
      <c r="T267" s="4" t="s">
        <v>30</v>
      </c>
    </row>
    <row r="268" spans="1:20" x14ac:dyDescent="0.3">
      <c r="A268" s="4" t="s">
        <v>21</v>
      </c>
      <c r="B268" s="4" t="s">
        <v>65</v>
      </c>
      <c r="C268" s="4" t="s">
        <v>23</v>
      </c>
      <c r="D268" s="5">
        <v>0.05</v>
      </c>
      <c r="E268" s="4" t="s">
        <v>24</v>
      </c>
      <c r="F268" s="4" t="s">
        <v>25</v>
      </c>
      <c r="G268" s="4" t="s">
        <v>26</v>
      </c>
      <c r="H268" s="4" t="s">
        <v>31</v>
      </c>
      <c r="I268" s="6">
        <v>680818.235139</v>
      </c>
      <c r="J268" s="7">
        <v>0.01</v>
      </c>
      <c r="K268" s="7">
        <v>9.9999997764825821E-3</v>
      </c>
      <c r="L268" s="4" t="s">
        <v>28</v>
      </c>
      <c r="M268" s="4" t="s">
        <v>28</v>
      </c>
      <c r="N268" s="4" t="s">
        <v>28</v>
      </c>
      <c r="O268" s="4" t="s">
        <v>28</v>
      </c>
      <c r="P268" s="4" t="s">
        <v>28</v>
      </c>
      <c r="Q268" s="4" t="s">
        <v>28</v>
      </c>
      <c r="R268" s="8">
        <v>46254.78318943287</v>
      </c>
      <c r="S268" s="4" t="s">
        <v>29</v>
      </c>
      <c r="T268" s="4" t="s">
        <v>30</v>
      </c>
    </row>
    <row r="269" spans="1:20" x14ac:dyDescent="0.3">
      <c r="A269" s="4" t="s">
        <v>21</v>
      </c>
      <c r="B269" s="4" t="s">
        <v>65</v>
      </c>
      <c r="C269" s="4" t="s">
        <v>23</v>
      </c>
      <c r="D269" s="5">
        <v>0.1</v>
      </c>
      <c r="E269" s="4" t="s">
        <v>24</v>
      </c>
      <c r="F269" s="4" t="s">
        <v>25</v>
      </c>
      <c r="G269" s="4" t="s">
        <v>26</v>
      </c>
      <c r="H269" s="4" t="s">
        <v>27</v>
      </c>
      <c r="I269" s="6">
        <v>1752.896205</v>
      </c>
      <c r="J269" s="7">
        <v>0.01</v>
      </c>
      <c r="K269" s="7">
        <v>9.9999997764825821E-3</v>
      </c>
      <c r="L269" s="4" t="s">
        <v>28</v>
      </c>
      <c r="M269" s="4" t="s">
        <v>28</v>
      </c>
      <c r="N269" s="4" t="s">
        <v>28</v>
      </c>
      <c r="O269" s="4" t="s">
        <v>28</v>
      </c>
      <c r="P269" s="4" t="s">
        <v>28</v>
      </c>
      <c r="Q269" s="4" t="s">
        <v>28</v>
      </c>
      <c r="R269" s="8">
        <v>46254.783189884263</v>
      </c>
      <c r="S269" s="4" t="s">
        <v>29</v>
      </c>
      <c r="T269" s="4" t="s">
        <v>30</v>
      </c>
    </row>
    <row r="270" spans="1:20" x14ac:dyDescent="0.3">
      <c r="A270" s="4" t="s">
        <v>21</v>
      </c>
      <c r="B270" s="4" t="s">
        <v>65</v>
      </c>
      <c r="C270" s="4" t="s">
        <v>23</v>
      </c>
      <c r="D270" s="5">
        <v>0.1</v>
      </c>
      <c r="E270" s="4" t="s">
        <v>24</v>
      </c>
      <c r="F270" s="4" t="s">
        <v>25</v>
      </c>
      <c r="G270" s="4" t="s">
        <v>26</v>
      </c>
      <c r="H270" s="4" t="s">
        <v>31</v>
      </c>
      <c r="I270" s="6">
        <v>680271.19755399995</v>
      </c>
      <c r="J270" s="7">
        <v>0.01</v>
      </c>
      <c r="K270" s="7">
        <v>9.9999997764825821E-3</v>
      </c>
      <c r="L270" s="4" t="s">
        <v>28</v>
      </c>
      <c r="M270" s="4" t="s">
        <v>28</v>
      </c>
      <c r="N270" s="4" t="s">
        <v>28</v>
      </c>
      <c r="O270" s="4" t="s">
        <v>28</v>
      </c>
      <c r="P270" s="4" t="s">
        <v>28</v>
      </c>
      <c r="Q270" s="4" t="s">
        <v>28</v>
      </c>
      <c r="R270" s="8">
        <v>46254.783189884263</v>
      </c>
      <c r="S270" s="4" t="s">
        <v>29</v>
      </c>
      <c r="T270" s="4" t="s">
        <v>30</v>
      </c>
    </row>
    <row r="271" spans="1:20" x14ac:dyDescent="0.3">
      <c r="A271" s="4" t="s">
        <v>21</v>
      </c>
      <c r="B271" s="4" t="s">
        <v>65</v>
      </c>
      <c r="C271" s="4" t="s">
        <v>32</v>
      </c>
      <c r="D271" s="5">
        <v>0.05</v>
      </c>
      <c r="E271" s="4" t="s">
        <v>24</v>
      </c>
      <c r="F271" s="4" t="s">
        <v>25</v>
      </c>
      <c r="G271" s="4" t="s">
        <v>26</v>
      </c>
      <c r="H271" s="4" t="s">
        <v>27</v>
      </c>
      <c r="I271" s="6">
        <v>1947.94958</v>
      </c>
      <c r="J271" s="7">
        <v>0.01</v>
      </c>
      <c r="K271" s="7">
        <v>9.9999997764825821E-3</v>
      </c>
      <c r="L271" s="4" t="s">
        <v>28</v>
      </c>
      <c r="M271" s="4" t="s">
        <v>28</v>
      </c>
      <c r="N271" s="4" t="s">
        <v>28</v>
      </c>
      <c r="O271" s="4" t="s">
        <v>28</v>
      </c>
      <c r="P271" s="4" t="s">
        <v>28</v>
      </c>
      <c r="Q271" s="4" t="s">
        <v>28</v>
      </c>
      <c r="R271" s="8">
        <v>46254.783190312497</v>
      </c>
      <c r="S271" s="4" t="s">
        <v>29</v>
      </c>
      <c r="T271" s="4" t="s">
        <v>30</v>
      </c>
    </row>
    <row r="272" spans="1:20" x14ac:dyDescent="0.3">
      <c r="A272" s="4" t="s">
        <v>21</v>
      </c>
      <c r="B272" s="4" t="s">
        <v>65</v>
      </c>
      <c r="C272" s="4" t="s">
        <v>32</v>
      </c>
      <c r="D272" s="5">
        <v>0.05</v>
      </c>
      <c r="E272" s="4" t="s">
        <v>24</v>
      </c>
      <c r="F272" s="4" t="s">
        <v>25</v>
      </c>
      <c r="G272" s="4" t="s">
        <v>26</v>
      </c>
      <c r="H272" s="4" t="s">
        <v>31</v>
      </c>
      <c r="I272" s="6">
        <v>786713.14242399996</v>
      </c>
      <c r="J272" s="7">
        <v>0.01</v>
      </c>
      <c r="K272" s="7">
        <v>9.9999997764825821E-3</v>
      </c>
      <c r="L272" s="4" t="s">
        <v>28</v>
      </c>
      <c r="M272" s="4" t="s">
        <v>28</v>
      </c>
      <c r="N272" s="4" t="s">
        <v>28</v>
      </c>
      <c r="O272" s="4" t="s">
        <v>28</v>
      </c>
      <c r="P272" s="4" t="s">
        <v>28</v>
      </c>
      <c r="Q272" s="4" t="s">
        <v>28</v>
      </c>
      <c r="R272" s="8">
        <v>46254.783190312497</v>
      </c>
      <c r="S272" s="4" t="s">
        <v>29</v>
      </c>
      <c r="T272" s="4" t="s">
        <v>30</v>
      </c>
    </row>
    <row r="273" spans="1:20" x14ac:dyDescent="0.3">
      <c r="A273" s="4" t="s">
        <v>21</v>
      </c>
      <c r="B273" s="4" t="s">
        <v>65</v>
      </c>
      <c r="C273" s="4" t="s">
        <v>32</v>
      </c>
      <c r="D273" s="5">
        <v>0.1</v>
      </c>
      <c r="E273" s="4" t="s">
        <v>24</v>
      </c>
      <c r="F273" s="4" t="s">
        <v>25</v>
      </c>
      <c r="G273" s="4" t="s">
        <v>26</v>
      </c>
      <c r="H273" s="4" t="s">
        <v>27</v>
      </c>
      <c r="I273" s="6">
        <v>1505.4170939999999</v>
      </c>
      <c r="J273" s="7">
        <v>0.01</v>
      </c>
      <c r="K273" s="7">
        <v>9.9999997764825821E-3</v>
      </c>
      <c r="L273" s="4" t="s">
        <v>28</v>
      </c>
      <c r="M273" s="4" t="s">
        <v>28</v>
      </c>
      <c r="N273" s="4" t="s">
        <v>28</v>
      </c>
      <c r="O273" s="4" t="s">
        <v>28</v>
      </c>
      <c r="P273" s="4" t="s">
        <v>28</v>
      </c>
      <c r="Q273" s="4" t="s">
        <v>28</v>
      </c>
      <c r="R273" s="8">
        <v>46254.783190775473</v>
      </c>
      <c r="S273" s="4" t="s">
        <v>29</v>
      </c>
      <c r="T273" s="4" t="s">
        <v>30</v>
      </c>
    </row>
    <row r="274" spans="1:20" x14ac:dyDescent="0.3">
      <c r="A274" s="4" t="s">
        <v>21</v>
      </c>
      <c r="B274" s="4" t="s">
        <v>65</v>
      </c>
      <c r="C274" s="4" t="s">
        <v>32</v>
      </c>
      <c r="D274" s="5">
        <v>0.1</v>
      </c>
      <c r="E274" s="4" t="s">
        <v>24</v>
      </c>
      <c r="F274" s="4" t="s">
        <v>25</v>
      </c>
      <c r="G274" s="4" t="s">
        <v>26</v>
      </c>
      <c r="H274" s="4" t="s">
        <v>31</v>
      </c>
      <c r="I274" s="6">
        <v>786270.60993899999</v>
      </c>
      <c r="J274" s="7">
        <v>0.01</v>
      </c>
      <c r="K274" s="7">
        <v>9.9999997764825821E-3</v>
      </c>
      <c r="L274" s="4" t="s">
        <v>28</v>
      </c>
      <c r="M274" s="4" t="s">
        <v>28</v>
      </c>
      <c r="N274" s="4" t="s">
        <v>28</v>
      </c>
      <c r="O274" s="4" t="s">
        <v>28</v>
      </c>
      <c r="P274" s="4" t="s">
        <v>28</v>
      </c>
      <c r="Q274" s="4" t="s">
        <v>28</v>
      </c>
      <c r="R274" s="8">
        <v>46254.783190775473</v>
      </c>
      <c r="S274" s="4" t="s">
        <v>29</v>
      </c>
      <c r="T274" s="4" t="s">
        <v>30</v>
      </c>
    </row>
    <row r="275" spans="1:20" x14ac:dyDescent="0.3">
      <c r="A275" s="4" t="s">
        <v>21</v>
      </c>
      <c r="B275" s="4" t="s">
        <v>66</v>
      </c>
      <c r="C275" s="4" t="s">
        <v>23</v>
      </c>
      <c r="D275" s="5">
        <v>0.05</v>
      </c>
      <c r="E275" s="4" t="s">
        <v>24</v>
      </c>
      <c r="F275" s="4" t="s">
        <v>25</v>
      </c>
      <c r="G275" s="4" t="s">
        <v>26</v>
      </c>
      <c r="H275" s="4" t="s">
        <v>27</v>
      </c>
      <c r="I275" s="6">
        <v>2119.653108</v>
      </c>
      <c r="J275" s="7">
        <v>0.01</v>
      </c>
      <c r="K275" s="7">
        <v>9.9999997764825821E-3</v>
      </c>
      <c r="L275" s="4" t="s">
        <v>28</v>
      </c>
      <c r="M275" s="4" t="s">
        <v>28</v>
      </c>
      <c r="N275" s="4" t="s">
        <v>28</v>
      </c>
      <c r="O275" s="4" t="s">
        <v>28</v>
      </c>
      <c r="P275" s="4" t="s">
        <v>28</v>
      </c>
      <c r="Q275" s="4" t="s">
        <v>28</v>
      </c>
      <c r="R275" s="8">
        <v>46254.785199664351</v>
      </c>
      <c r="S275" s="4" t="s">
        <v>29</v>
      </c>
      <c r="T275" s="4" t="s">
        <v>30</v>
      </c>
    </row>
    <row r="276" spans="1:20" x14ac:dyDescent="0.3">
      <c r="A276" s="4" t="s">
        <v>21</v>
      </c>
      <c r="B276" s="4" t="s">
        <v>66</v>
      </c>
      <c r="C276" s="4" t="s">
        <v>23</v>
      </c>
      <c r="D276" s="5">
        <v>0.05</v>
      </c>
      <c r="E276" s="4" t="s">
        <v>24</v>
      </c>
      <c r="F276" s="4" t="s">
        <v>25</v>
      </c>
      <c r="G276" s="4" t="s">
        <v>26</v>
      </c>
      <c r="H276" s="4" t="s">
        <v>31</v>
      </c>
      <c r="I276" s="6">
        <v>680637.95445700001</v>
      </c>
      <c r="J276" s="7">
        <v>0.01</v>
      </c>
      <c r="K276" s="7">
        <v>9.9999997764825821E-3</v>
      </c>
      <c r="L276" s="4" t="s">
        <v>28</v>
      </c>
      <c r="M276" s="4" t="s">
        <v>28</v>
      </c>
      <c r="N276" s="4" t="s">
        <v>28</v>
      </c>
      <c r="O276" s="4" t="s">
        <v>28</v>
      </c>
      <c r="P276" s="4" t="s">
        <v>28</v>
      </c>
      <c r="Q276" s="4" t="s">
        <v>28</v>
      </c>
      <c r="R276" s="8">
        <v>46254.785199664351</v>
      </c>
      <c r="S276" s="4" t="s">
        <v>29</v>
      </c>
      <c r="T276" s="4" t="s">
        <v>30</v>
      </c>
    </row>
    <row r="277" spans="1:20" x14ac:dyDescent="0.3">
      <c r="A277" s="4" t="s">
        <v>21</v>
      </c>
      <c r="B277" s="4" t="s">
        <v>66</v>
      </c>
      <c r="C277" s="4" t="s">
        <v>23</v>
      </c>
      <c r="D277" s="5">
        <v>0.1</v>
      </c>
      <c r="E277" s="4" t="s">
        <v>24</v>
      </c>
      <c r="F277" s="4" t="s">
        <v>25</v>
      </c>
      <c r="G277" s="4" t="s">
        <v>26</v>
      </c>
      <c r="H277" s="4" t="s">
        <v>27</v>
      </c>
      <c r="I277" s="6">
        <v>1697.8567740000001</v>
      </c>
      <c r="J277" s="7">
        <v>0.01</v>
      </c>
      <c r="K277" s="7">
        <v>9.9999997764825821E-3</v>
      </c>
      <c r="L277" s="4" t="s">
        <v>28</v>
      </c>
      <c r="M277" s="4" t="s">
        <v>28</v>
      </c>
      <c r="N277" s="4" t="s">
        <v>28</v>
      </c>
      <c r="O277" s="4" t="s">
        <v>28</v>
      </c>
      <c r="P277" s="4" t="s">
        <v>28</v>
      </c>
      <c r="Q277" s="4" t="s">
        <v>28</v>
      </c>
      <c r="R277" s="8">
        <v>46254.785200115737</v>
      </c>
      <c r="S277" s="4" t="s">
        <v>29</v>
      </c>
      <c r="T277" s="4" t="s">
        <v>30</v>
      </c>
    </row>
    <row r="278" spans="1:20" x14ac:dyDescent="0.3">
      <c r="A278" s="4" t="s">
        <v>21</v>
      </c>
      <c r="B278" s="4" t="s">
        <v>66</v>
      </c>
      <c r="C278" s="4" t="s">
        <v>23</v>
      </c>
      <c r="D278" s="5">
        <v>0.1</v>
      </c>
      <c r="E278" s="4" t="s">
        <v>24</v>
      </c>
      <c r="F278" s="4" t="s">
        <v>25</v>
      </c>
      <c r="G278" s="4" t="s">
        <v>26</v>
      </c>
      <c r="H278" s="4" t="s">
        <v>31</v>
      </c>
      <c r="I278" s="6">
        <v>680216.15812299994</v>
      </c>
      <c r="J278" s="7">
        <v>0.01</v>
      </c>
      <c r="K278" s="7">
        <v>9.9999997764825821E-3</v>
      </c>
      <c r="L278" s="4" t="s">
        <v>28</v>
      </c>
      <c r="M278" s="4" t="s">
        <v>28</v>
      </c>
      <c r="N278" s="4" t="s">
        <v>28</v>
      </c>
      <c r="O278" s="4" t="s">
        <v>28</v>
      </c>
      <c r="P278" s="4" t="s">
        <v>28</v>
      </c>
      <c r="Q278" s="4" t="s">
        <v>28</v>
      </c>
      <c r="R278" s="8">
        <v>46254.785200115737</v>
      </c>
      <c r="S278" s="4" t="s">
        <v>29</v>
      </c>
      <c r="T278" s="4" t="s">
        <v>30</v>
      </c>
    </row>
    <row r="279" spans="1:20" x14ac:dyDescent="0.3">
      <c r="A279" s="4" t="s">
        <v>21</v>
      </c>
      <c r="B279" s="4" t="s">
        <v>66</v>
      </c>
      <c r="C279" s="4" t="s">
        <v>32</v>
      </c>
      <c r="D279" s="5">
        <v>0.05</v>
      </c>
      <c r="E279" s="4" t="s">
        <v>24</v>
      </c>
      <c r="F279" s="4" t="s">
        <v>25</v>
      </c>
      <c r="G279" s="4" t="s">
        <v>26</v>
      </c>
      <c r="H279" s="4" t="s">
        <v>27</v>
      </c>
      <c r="I279" s="6">
        <v>1764.212186</v>
      </c>
      <c r="J279" s="7">
        <v>0.01</v>
      </c>
      <c r="K279" s="7">
        <v>9.9999997764825821E-3</v>
      </c>
      <c r="L279" s="4" t="s">
        <v>28</v>
      </c>
      <c r="M279" s="4" t="s">
        <v>28</v>
      </c>
      <c r="N279" s="4" t="s">
        <v>28</v>
      </c>
      <c r="O279" s="4" t="s">
        <v>28</v>
      </c>
      <c r="P279" s="4" t="s">
        <v>28</v>
      </c>
      <c r="Q279" s="4" t="s">
        <v>28</v>
      </c>
      <c r="R279" s="8">
        <v>46254.785200543978</v>
      </c>
      <c r="S279" s="4" t="s">
        <v>29</v>
      </c>
      <c r="T279" s="4" t="s">
        <v>30</v>
      </c>
    </row>
    <row r="280" spans="1:20" x14ac:dyDescent="0.3">
      <c r="A280" s="4" t="s">
        <v>21</v>
      </c>
      <c r="B280" s="4" t="s">
        <v>66</v>
      </c>
      <c r="C280" s="4" t="s">
        <v>32</v>
      </c>
      <c r="D280" s="5">
        <v>0.05</v>
      </c>
      <c r="E280" s="4" t="s">
        <v>24</v>
      </c>
      <c r="F280" s="4" t="s">
        <v>25</v>
      </c>
      <c r="G280" s="4" t="s">
        <v>26</v>
      </c>
      <c r="H280" s="4" t="s">
        <v>31</v>
      </c>
      <c r="I280" s="6">
        <v>786529.40503000002</v>
      </c>
      <c r="J280" s="7">
        <v>0.01</v>
      </c>
      <c r="K280" s="7">
        <v>9.9999997764825821E-3</v>
      </c>
      <c r="L280" s="4" t="s">
        <v>28</v>
      </c>
      <c r="M280" s="4" t="s">
        <v>28</v>
      </c>
      <c r="N280" s="4" t="s">
        <v>28</v>
      </c>
      <c r="O280" s="4" t="s">
        <v>28</v>
      </c>
      <c r="P280" s="4" t="s">
        <v>28</v>
      </c>
      <c r="Q280" s="4" t="s">
        <v>28</v>
      </c>
      <c r="R280" s="8">
        <v>46254.785200543978</v>
      </c>
      <c r="S280" s="4" t="s">
        <v>29</v>
      </c>
      <c r="T280" s="4" t="s">
        <v>30</v>
      </c>
    </row>
    <row r="281" spans="1:20" x14ac:dyDescent="0.3">
      <c r="A281" s="4" t="s">
        <v>21</v>
      </c>
      <c r="B281" s="4" t="s">
        <v>66</v>
      </c>
      <c r="C281" s="4" t="s">
        <v>32</v>
      </c>
      <c r="D281" s="5">
        <v>0.1</v>
      </c>
      <c r="E281" s="4" t="s">
        <v>24</v>
      </c>
      <c r="F281" s="4" t="s">
        <v>25</v>
      </c>
      <c r="G281" s="4" t="s">
        <v>26</v>
      </c>
      <c r="H281" s="4" t="s">
        <v>27</v>
      </c>
      <c r="I281" s="6">
        <v>1425.1913669999999</v>
      </c>
      <c r="J281" s="7">
        <v>0.01</v>
      </c>
      <c r="K281" s="7">
        <v>9.9999997764825821E-3</v>
      </c>
      <c r="L281" s="4" t="s">
        <v>28</v>
      </c>
      <c r="M281" s="4" t="s">
        <v>28</v>
      </c>
      <c r="N281" s="4" t="s">
        <v>28</v>
      </c>
      <c r="O281" s="4" t="s">
        <v>28</v>
      </c>
      <c r="P281" s="4" t="s">
        <v>28</v>
      </c>
      <c r="Q281" s="4" t="s">
        <v>28</v>
      </c>
      <c r="R281" s="8">
        <v>46254.785200983802</v>
      </c>
      <c r="S281" s="4" t="s">
        <v>29</v>
      </c>
      <c r="T281" s="4" t="s">
        <v>30</v>
      </c>
    </row>
    <row r="282" spans="1:20" x14ac:dyDescent="0.3">
      <c r="A282" s="4" t="s">
        <v>21</v>
      </c>
      <c r="B282" s="4" t="s">
        <v>66</v>
      </c>
      <c r="C282" s="4" t="s">
        <v>32</v>
      </c>
      <c r="D282" s="5">
        <v>0.1</v>
      </c>
      <c r="E282" s="4" t="s">
        <v>24</v>
      </c>
      <c r="F282" s="4" t="s">
        <v>25</v>
      </c>
      <c r="G282" s="4" t="s">
        <v>26</v>
      </c>
      <c r="H282" s="4" t="s">
        <v>31</v>
      </c>
      <c r="I282" s="6">
        <v>786190.38421100006</v>
      </c>
      <c r="J282" s="7">
        <v>0.01</v>
      </c>
      <c r="K282" s="7">
        <v>9.9999997764825821E-3</v>
      </c>
      <c r="L282" s="4" t="s">
        <v>28</v>
      </c>
      <c r="M282" s="4" t="s">
        <v>28</v>
      </c>
      <c r="N282" s="4" t="s">
        <v>28</v>
      </c>
      <c r="O282" s="4" t="s">
        <v>28</v>
      </c>
      <c r="P282" s="4" t="s">
        <v>28</v>
      </c>
      <c r="Q282" s="4" t="s">
        <v>28</v>
      </c>
      <c r="R282" s="8">
        <v>46254.785200983802</v>
      </c>
      <c r="S282" s="4" t="s">
        <v>29</v>
      </c>
      <c r="T282" s="4" t="s">
        <v>30</v>
      </c>
    </row>
    <row r="283" spans="1:20" x14ac:dyDescent="0.3">
      <c r="A283" s="4" t="s">
        <v>21</v>
      </c>
      <c r="B283" s="4" t="s">
        <v>67</v>
      </c>
      <c r="C283" s="4" t="s">
        <v>23</v>
      </c>
      <c r="D283" s="5">
        <v>0.05</v>
      </c>
      <c r="E283" s="4" t="s">
        <v>24</v>
      </c>
      <c r="F283" s="4" t="s">
        <v>25</v>
      </c>
      <c r="G283" s="4" t="s">
        <v>26</v>
      </c>
      <c r="H283" s="4" t="s">
        <v>27</v>
      </c>
      <c r="I283" s="6">
        <v>1500.934303</v>
      </c>
      <c r="J283" s="7">
        <v>0.01</v>
      </c>
      <c r="K283" s="7">
        <v>9.9999997764825821E-3</v>
      </c>
      <c r="L283" s="4" t="s">
        <v>28</v>
      </c>
      <c r="M283" s="4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8">
        <v>46254.786645462962</v>
      </c>
      <c r="S283" s="4" t="s">
        <v>29</v>
      </c>
      <c r="T283" s="4" t="s">
        <v>30</v>
      </c>
    </row>
    <row r="284" spans="1:20" x14ac:dyDescent="0.3">
      <c r="A284" s="4" t="s">
        <v>21</v>
      </c>
      <c r="B284" s="4" t="s">
        <v>67</v>
      </c>
      <c r="C284" s="4" t="s">
        <v>23</v>
      </c>
      <c r="D284" s="5">
        <v>0.05</v>
      </c>
      <c r="E284" s="4" t="s">
        <v>24</v>
      </c>
      <c r="F284" s="4" t="s">
        <v>25</v>
      </c>
      <c r="G284" s="4" t="s">
        <v>26</v>
      </c>
      <c r="H284" s="4" t="s">
        <v>31</v>
      </c>
      <c r="I284" s="6">
        <v>680019.23565199994</v>
      </c>
      <c r="J284" s="7">
        <v>0.01</v>
      </c>
      <c r="K284" s="7">
        <v>9.9999997764825821E-3</v>
      </c>
      <c r="L284" s="4" t="s">
        <v>28</v>
      </c>
      <c r="M284" s="4" t="s">
        <v>28</v>
      </c>
      <c r="N284" s="4" t="s">
        <v>28</v>
      </c>
      <c r="O284" s="4" t="s">
        <v>28</v>
      </c>
      <c r="P284" s="4" t="s">
        <v>28</v>
      </c>
      <c r="Q284" s="4" t="s">
        <v>28</v>
      </c>
      <c r="R284" s="8">
        <v>46254.786645462962</v>
      </c>
      <c r="S284" s="4" t="s">
        <v>29</v>
      </c>
      <c r="T284" s="4" t="s">
        <v>30</v>
      </c>
    </row>
    <row r="285" spans="1:20" x14ac:dyDescent="0.3">
      <c r="A285" s="4" t="s">
        <v>21</v>
      </c>
      <c r="B285" s="4" t="s">
        <v>67</v>
      </c>
      <c r="C285" s="4" t="s">
        <v>23</v>
      </c>
      <c r="D285" s="5">
        <v>0.1</v>
      </c>
      <c r="E285" s="4" t="s">
        <v>24</v>
      </c>
      <c r="F285" s="4" t="s">
        <v>25</v>
      </c>
      <c r="G285" s="4" t="s">
        <v>26</v>
      </c>
      <c r="H285" s="4" t="s">
        <v>27</v>
      </c>
      <c r="I285" s="6">
        <v>1279.4171570000001</v>
      </c>
      <c r="J285" s="7">
        <v>0.01</v>
      </c>
      <c r="K285" s="7">
        <v>9.9999997764825821E-3</v>
      </c>
      <c r="L285" s="4" t="s">
        <v>28</v>
      </c>
      <c r="M285" s="4" t="s">
        <v>28</v>
      </c>
      <c r="N285" s="4" t="s">
        <v>28</v>
      </c>
      <c r="O285" s="4" t="s">
        <v>28</v>
      </c>
      <c r="P285" s="4" t="s">
        <v>28</v>
      </c>
      <c r="Q285" s="4" t="s">
        <v>28</v>
      </c>
      <c r="R285" s="8">
        <v>46254.786645925917</v>
      </c>
      <c r="S285" s="4" t="s">
        <v>29</v>
      </c>
      <c r="T285" s="4" t="s">
        <v>30</v>
      </c>
    </row>
    <row r="286" spans="1:20" x14ac:dyDescent="0.3">
      <c r="A286" s="4" t="s">
        <v>21</v>
      </c>
      <c r="B286" s="4" t="s">
        <v>67</v>
      </c>
      <c r="C286" s="4" t="s">
        <v>23</v>
      </c>
      <c r="D286" s="5">
        <v>0.1</v>
      </c>
      <c r="E286" s="4" t="s">
        <v>24</v>
      </c>
      <c r="F286" s="4" t="s">
        <v>25</v>
      </c>
      <c r="G286" s="4" t="s">
        <v>26</v>
      </c>
      <c r="H286" s="4" t="s">
        <v>31</v>
      </c>
      <c r="I286" s="6">
        <v>679797.718506</v>
      </c>
      <c r="J286" s="7">
        <v>0.01</v>
      </c>
      <c r="K286" s="7">
        <v>9.9999997764825821E-3</v>
      </c>
      <c r="L286" s="4" t="s">
        <v>28</v>
      </c>
      <c r="M286" s="4" t="s">
        <v>28</v>
      </c>
      <c r="N286" s="4" t="s">
        <v>28</v>
      </c>
      <c r="O286" s="4" t="s">
        <v>28</v>
      </c>
      <c r="P286" s="4" t="s">
        <v>28</v>
      </c>
      <c r="Q286" s="4" t="s">
        <v>28</v>
      </c>
      <c r="R286" s="8">
        <v>46254.786645925917</v>
      </c>
      <c r="S286" s="4" t="s">
        <v>29</v>
      </c>
      <c r="T286" s="4" t="s">
        <v>30</v>
      </c>
    </row>
    <row r="287" spans="1:20" x14ac:dyDescent="0.3">
      <c r="A287" s="4" t="s">
        <v>21</v>
      </c>
      <c r="B287" s="4" t="s">
        <v>67</v>
      </c>
      <c r="C287" s="4" t="s">
        <v>32</v>
      </c>
      <c r="D287" s="5">
        <v>0.05</v>
      </c>
      <c r="E287" s="4" t="s">
        <v>24</v>
      </c>
      <c r="F287" s="4" t="s">
        <v>25</v>
      </c>
      <c r="G287" s="4" t="s">
        <v>26</v>
      </c>
      <c r="H287" s="4" t="s">
        <v>27</v>
      </c>
      <c r="I287" s="6">
        <v>1198.844734</v>
      </c>
      <c r="J287" s="7">
        <v>0.01</v>
      </c>
      <c r="K287" s="7">
        <v>9.9999997764825821E-3</v>
      </c>
      <c r="L287" s="4" t="s">
        <v>28</v>
      </c>
      <c r="M287" s="4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8">
        <v>46254.786646354158</v>
      </c>
      <c r="S287" s="4" t="s">
        <v>29</v>
      </c>
      <c r="T287" s="4" t="s">
        <v>30</v>
      </c>
    </row>
    <row r="288" spans="1:20" x14ac:dyDescent="0.3">
      <c r="A288" s="4" t="s">
        <v>21</v>
      </c>
      <c r="B288" s="4" t="s">
        <v>67</v>
      </c>
      <c r="C288" s="4" t="s">
        <v>32</v>
      </c>
      <c r="D288" s="5">
        <v>0.05</v>
      </c>
      <c r="E288" s="4" t="s">
        <v>24</v>
      </c>
      <c r="F288" s="4" t="s">
        <v>25</v>
      </c>
      <c r="G288" s="4" t="s">
        <v>26</v>
      </c>
      <c r="H288" s="4" t="s">
        <v>31</v>
      </c>
      <c r="I288" s="6">
        <v>785964.037579</v>
      </c>
      <c r="J288" s="7">
        <v>0.01</v>
      </c>
      <c r="K288" s="7">
        <v>9.9999997764825821E-3</v>
      </c>
      <c r="L288" s="4" t="s">
        <v>28</v>
      </c>
      <c r="M288" s="4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8">
        <v>46254.786646354158</v>
      </c>
      <c r="S288" s="4" t="s">
        <v>29</v>
      </c>
      <c r="T288" s="4" t="s">
        <v>30</v>
      </c>
    </row>
    <row r="289" spans="1:20" x14ac:dyDescent="0.3">
      <c r="A289" s="4" t="s">
        <v>21</v>
      </c>
      <c r="B289" s="4" t="s">
        <v>67</v>
      </c>
      <c r="C289" s="4" t="s">
        <v>32</v>
      </c>
      <c r="D289" s="5">
        <v>0.1</v>
      </c>
      <c r="E289" s="4" t="s">
        <v>24</v>
      </c>
      <c r="F289" s="4" t="s">
        <v>25</v>
      </c>
      <c r="G289" s="4" t="s">
        <v>26</v>
      </c>
      <c r="H289" s="4" t="s">
        <v>27</v>
      </c>
      <c r="I289" s="6">
        <v>1024.471327</v>
      </c>
      <c r="J289" s="7">
        <v>0.01</v>
      </c>
      <c r="K289" s="7">
        <v>9.9999997764825821E-3</v>
      </c>
      <c r="L289" s="4" t="s">
        <v>28</v>
      </c>
      <c r="M289" s="4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8">
        <v>46254.786646875</v>
      </c>
      <c r="S289" s="4" t="s">
        <v>29</v>
      </c>
      <c r="T289" s="4" t="s">
        <v>30</v>
      </c>
    </row>
    <row r="290" spans="1:20" x14ac:dyDescent="0.3">
      <c r="A290" s="4" t="s">
        <v>21</v>
      </c>
      <c r="B290" s="4" t="s">
        <v>67</v>
      </c>
      <c r="C290" s="4" t="s">
        <v>32</v>
      </c>
      <c r="D290" s="5">
        <v>0.1</v>
      </c>
      <c r="E290" s="4" t="s">
        <v>24</v>
      </c>
      <c r="F290" s="4" t="s">
        <v>25</v>
      </c>
      <c r="G290" s="4" t="s">
        <v>26</v>
      </c>
      <c r="H290" s="4" t="s">
        <v>31</v>
      </c>
      <c r="I290" s="6">
        <v>785789.66417100001</v>
      </c>
      <c r="J290" s="7">
        <v>0.01</v>
      </c>
      <c r="K290" s="7">
        <v>9.9999997764825821E-3</v>
      </c>
      <c r="L290" s="4" t="s">
        <v>28</v>
      </c>
      <c r="M290" s="4" t="s">
        <v>28</v>
      </c>
      <c r="N290" s="4" t="s">
        <v>28</v>
      </c>
      <c r="O290" s="4" t="s">
        <v>28</v>
      </c>
      <c r="P290" s="4" t="s">
        <v>28</v>
      </c>
      <c r="Q290" s="4" t="s">
        <v>28</v>
      </c>
      <c r="R290" s="8">
        <v>46254.786646875</v>
      </c>
      <c r="S290" s="4" t="s">
        <v>29</v>
      </c>
      <c r="T290" s="4" t="s">
        <v>30</v>
      </c>
    </row>
    <row r="291" spans="1:20" x14ac:dyDescent="0.3">
      <c r="A291" s="4" t="s">
        <v>21</v>
      </c>
      <c r="B291" s="4" t="s">
        <v>68</v>
      </c>
      <c r="C291" s="4" t="s">
        <v>23</v>
      </c>
      <c r="D291" s="5">
        <v>0.05</v>
      </c>
      <c r="E291" s="4" t="s">
        <v>24</v>
      </c>
      <c r="F291" s="4" t="s">
        <v>25</v>
      </c>
      <c r="G291" s="4" t="s">
        <v>26</v>
      </c>
      <c r="H291" s="4" t="s">
        <v>27</v>
      </c>
      <c r="I291" s="6">
        <v>1069.861195</v>
      </c>
      <c r="J291" s="7">
        <v>0.01</v>
      </c>
      <c r="K291" s="7">
        <v>9.9999997764825821E-3</v>
      </c>
      <c r="L291" s="4" t="s">
        <v>28</v>
      </c>
      <c r="M291" s="4" t="s">
        <v>28</v>
      </c>
      <c r="N291" s="4" t="s">
        <v>28</v>
      </c>
      <c r="O291" s="4" t="s">
        <v>28</v>
      </c>
      <c r="P291" s="4" t="s">
        <v>28</v>
      </c>
      <c r="Q291" s="4" t="s">
        <v>28</v>
      </c>
      <c r="R291" s="8">
        <v>46254.790558263892</v>
      </c>
      <c r="S291" s="4" t="s">
        <v>29</v>
      </c>
      <c r="T291" s="4" t="s">
        <v>30</v>
      </c>
    </row>
    <row r="292" spans="1:20" x14ac:dyDescent="0.3">
      <c r="A292" s="4" t="s">
        <v>21</v>
      </c>
      <c r="B292" s="4" t="s">
        <v>68</v>
      </c>
      <c r="C292" s="4" t="s">
        <v>23</v>
      </c>
      <c r="D292" s="5">
        <v>0.05</v>
      </c>
      <c r="E292" s="4" t="s">
        <v>24</v>
      </c>
      <c r="F292" s="4" t="s">
        <v>25</v>
      </c>
      <c r="G292" s="4" t="s">
        <v>26</v>
      </c>
      <c r="H292" s="4" t="s">
        <v>31</v>
      </c>
      <c r="I292" s="6">
        <v>679622.96511800005</v>
      </c>
      <c r="J292" s="7">
        <v>0.01</v>
      </c>
      <c r="K292" s="7">
        <v>9.9999997764825821E-3</v>
      </c>
      <c r="L292" s="4" t="s">
        <v>28</v>
      </c>
      <c r="M292" s="4" t="s">
        <v>28</v>
      </c>
      <c r="N292" s="4" t="s">
        <v>28</v>
      </c>
      <c r="O292" s="4" t="s">
        <v>28</v>
      </c>
      <c r="P292" s="4" t="s">
        <v>28</v>
      </c>
      <c r="Q292" s="4" t="s">
        <v>28</v>
      </c>
      <c r="R292" s="8">
        <v>46254.790558263892</v>
      </c>
      <c r="S292" s="4" t="s">
        <v>29</v>
      </c>
      <c r="T292" s="4" t="s">
        <v>30</v>
      </c>
    </row>
    <row r="293" spans="1:20" x14ac:dyDescent="0.3">
      <c r="A293" s="4" t="s">
        <v>21</v>
      </c>
      <c r="B293" s="4" t="s">
        <v>68</v>
      </c>
      <c r="C293" s="4" t="s">
        <v>23</v>
      </c>
      <c r="D293" s="5">
        <v>0.1</v>
      </c>
      <c r="E293" s="4" t="s">
        <v>24</v>
      </c>
      <c r="F293" s="4" t="s">
        <v>25</v>
      </c>
      <c r="G293" s="4" t="s">
        <v>26</v>
      </c>
      <c r="H293" s="4" t="s">
        <v>27</v>
      </c>
      <c r="I293" s="6">
        <v>979.47225500000002</v>
      </c>
      <c r="J293" s="7">
        <v>0.01</v>
      </c>
      <c r="K293" s="7">
        <v>9.9999997764825821E-3</v>
      </c>
      <c r="L293" s="4" t="s">
        <v>28</v>
      </c>
      <c r="M293" s="4" t="s">
        <v>28</v>
      </c>
      <c r="N293" s="4" t="s">
        <v>28</v>
      </c>
      <c r="O293" s="4" t="s">
        <v>28</v>
      </c>
      <c r="P293" s="4" t="s">
        <v>28</v>
      </c>
      <c r="Q293" s="4" t="s">
        <v>28</v>
      </c>
      <c r="R293" s="8">
        <v>46254.790558703702</v>
      </c>
      <c r="S293" s="4" t="s">
        <v>29</v>
      </c>
      <c r="T293" s="4" t="s">
        <v>30</v>
      </c>
    </row>
    <row r="294" spans="1:20" x14ac:dyDescent="0.3">
      <c r="A294" s="4" t="s">
        <v>21</v>
      </c>
      <c r="B294" s="4" t="s">
        <v>68</v>
      </c>
      <c r="C294" s="4" t="s">
        <v>23</v>
      </c>
      <c r="D294" s="5">
        <v>0.1</v>
      </c>
      <c r="E294" s="4" t="s">
        <v>24</v>
      </c>
      <c r="F294" s="4" t="s">
        <v>25</v>
      </c>
      <c r="G294" s="4" t="s">
        <v>26</v>
      </c>
      <c r="H294" s="4" t="s">
        <v>31</v>
      </c>
      <c r="I294" s="6">
        <v>679532.57617699995</v>
      </c>
      <c r="J294" s="7">
        <v>0.01</v>
      </c>
      <c r="K294" s="7">
        <v>9.9999997764825821E-3</v>
      </c>
      <c r="L294" s="4" t="s">
        <v>28</v>
      </c>
      <c r="M294" s="4" t="s">
        <v>28</v>
      </c>
      <c r="N294" s="4" t="s">
        <v>28</v>
      </c>
      <c r="O294" s="4" t="s">
        <v>28</v>
      </c>
      <c r="P294" s="4" t="s">
        <v>28</v>
      </c>
      <c r="Q294" s="4" t="s">
        <v>28</v>
      </c>
      <c r="R294" s="8">
        <v>46254.790558703702</v>
      </c>
      <c r="S294" s="4" t="s">
        <v>29</v>
      </c>
      <c r="T294" s="4" t="s">
        <v>30</v>
      </c>
    </row>
    <row r="295" spans="1:20" x14ac:dyDescent="0.3">
      <c r="A295" s="4" t="s">
        <v>21</v>
      </c>
      <c r="B295" s="4" t="s">
        <v>68</v>
      </c>
      <c r="C295" s="4" t="s">
        <v>32</v>
      </c>
      <c r="D295" s="5">
        <v>0.05</v>
      </c>
      <c r="E295" s="4" t="s">
        <v>24</v>
      </c>
      <c r="F295" s="4" t="s">
        <v>25</v>
      </c>
      <c r="G295" s="4" t="s">
        <v>26</v>
      </c>
      <c r="H295" s="4" t="s">
        <v>27</v>
      </c>
      <c r="I295" s="6">
        <v>866.88092800000004</v>
      </c>
      <c r="J295" s="7">
        <v>0.01</v>
      </c>
      <c r="K295" s="7">
        <v>9.9999997764825821E-3</v>
      </c>
      <c r="L295" s="4" t="s">
        <v>28</v>
      </c>
      <c r="M295" s="4" t="s">
        <v>28</v>
      </c>
      <c r="N295" s="4" t="s">
        <v>28</v>
      </c>
      <c r="O295" s="4" t="s">
        <v>28</v>
      </c>
      <c r="P295" s="4" t="s">
        <v>28</v>
      </c>
      <c r="Q295" s="4" t="s">
        <v>28</v>
      </c>
      <c r="R295" s="8">
        <v>46254.790559155103</v>
      </c>
      <c r="S295" s="4" t="s">
        <v>29</v>
      </c>
      <c r="T295" s="4" t="s">
        <v>30</v>
      </c>
    </row>
    <row r="296" spans="1:20" x14ac:dyDescent="0.3">
      <c r="A296" s="4" t="s">
        <v>21</v>
      </c>
      <c r="B296" s="4" t="s">
        <v>68</v>
      </c>
      <c r="C296" s="4" t="s">
        <v>32</v>
      </c>
      <c r="D296" s="5">
        <v>0.05</v>
      </c>
      <c r="E296" s="4" t="s">
        <v>24</v>
      </c>
      <c r="F296" s="4" t="s">
        <v>25</v>
      </c>
      <c r="G296" s="4" t="s">
        <v>26</v>
      </c>
      <c r="H296" s="4" t="s">
        <v>31</v>
      </c>
      <c r="I296" s="6">
        <v>785656.79628799995</v>
      </c>
      <c r="J296" s="7">
        <v>0.01</v>
      </c>
      <c r="K296" s="7">
        <v>9.9999997764825821E-3</v>
      </c>
      <c r="L296" s="4" t="s">
        <v>28</v>
      </c>
      <c r="M296" s="4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8">
        <v>46254.790559155103</v>
      </c>
      <c r="S296" s="4" t="s">
        <v>29</v>
      </c>
      <c r="T296" s="4" t="s">
        <v>30</v>
      </c>
    </row>
    <row r="297" spans="1:20" x14ac:dyDescent="0.3">
      <c r="A297" s="4" t="s">
        <v>21</v>
      </c>
      <c r="B297" s="4" t="s">
        <v>68</v>
      </c>
      <c r="C297" s="4" t="s">
        <v>32</v>
      </c>
      <c r="D297" s="5">
        <v>0.1</v>
      </c>
      <c r="E297" s="4" t="s">
        <v>24</v>
      </c>
      <c r="F297" s="4" t="s">
        <v>25</v>
      </c>
      <c r="G297" s="4" t="s">
        <v>26</v>
      </c>
      <c r="H297" s="4" t="s">
        <v>27</v>
      </c>
      <c r="I297" s="6">
        <v>796.31638299999997</v>
      </c>
      <c r="J297" s="7">
        <v>0.01</v>
      </c>
      <c r="K297" s="7">
        <v>9.9999997764825821E-3</v>
      </c>
      <c r="L297" s="4" t="s">
        <v>28</v>
      </c>
      <c r="M297" s="4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8">
        <v>46254.790559618057</v>
      </c>
      <c r="S297" s="4" t="s">
        <v>29</v>
      </c>
      <c r="T297" s="4" t="s">
        <v>30</v>
      </c>
    </row>
    <row r="298" spans="1:20" x14ac:dyDescent="0.3">
      <c r="A298" s="4" t="s">
        <v>21</v>
      </c>
      <c r="B298" s="4" t="s">
        <v>68</v>
      </c>
      <c r="C298" s="4" t="s">
        <v>32</v>
      </c>
      <c r="D298" s="5">
        <v>0.1</v>
      </c>
      <c r="E298" s="4" t="s">
        <v>24</v>
      </c>
      <c r="F298" s="4" t="s">
        <v>25</v>
      </c>
      <c r="G298" s="4" t="s">
        <v>26</v>
      </c>
      <c r="H298" s="4" t="s">
        <v>31</v>
      </c>
      <c r="I298" s="6">
        <v>785586.23174299998</v>
      </c>
      <c r="J298" s="7">
        <v>0.01</v>
      </c>
      <c r="K298" s="7">
        <v>9.9999997764825821E-3</v>
      </c>
      <c r="L298" s="4" t="s">
        <v>28</v>
      </c>
      <c r="M298" s="4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8">
        <v>46254.790559618057</v>
      </c>
      <c r="S298" s="4" t="s">
        <v>29</v>
      </c>
      <c r="T298" s="4" t="s">
        <v>30</v>
      </c>
    </row>
    <row r="299" spans="1:20" x14ac:dyDescent="0.3">
      <c r="A299" s="4" t="s">
        <v>21</v>
      </c>
      <c r="B299" s="4" t="s">
        <v>69</v>
      </c>
      <c r="C299" s="4" t="s">
        <v>23</v>
      </c>
      <c r="D299" s="5">
        <v>0.05</v>
      </c>
      <c r="E299" s="4" t="s">
        <v>24</v>
      </c>
      <c r="F299" s="4" t="s">
        <v>25</v>
      </c>
      <c r="G299" s="4" t="s">
        <v>26</v>
      </c>
      <c r="H299" s="4" t="s">
        <v>27</v>
      </c>
      <c r="I299" s="6">
        <v>728.93508099999997</v>
      </c>
      <c r="J299" s="7">
        <v>0.01</v>
      </c>
      <c r="K299" s="7">
        <v>9.9999997764825821E-3</v>
      </c>
      <c r="L299" s="4" t="s">
        <v>28</v>
      </c>
      <c r="M299" s="4" t="s">
        <v>28</v>
      </c>
      <c r="N299" s="4" t="s">
        <v>28</v>
      </c>
      <c r="O299" s="4" t="s">
        <v>28</v>
      </c>
      <c r="P299" s="4" t="s">
        <v>28</v>
      </c>
      <c r="Q299" s="4" t="s">
        <v>28</v>
      </c>
      <c r="R299" s="8">
        <v>46254.791247650457</v>
      </c>
      <c r="S299" s="4" t="s">
        <v>29</v>
      </c>
      <c r="T299" s="4" t="s">
        <v>30</v>
      </c>
    </row>
    <row r="300" spans="1:20" x14ac:dyDescent="0.3">
      <c r="A300" s="4" t="s">
        <v>21</v>
      </c>
      <c r="B300" s="4" t="s">
        <v>69</v>
      </c>
      <c r="C300" s="4" t="s">
        <v>23</v>
      </c>
      <c r="D300" s="5">
        <v>0.05</v>
      </c>
      <c r="E300" s="4" t="s">
        <v>24</v>
      </c>
      <c r="F300" s="4" t="s">
        <v>25</v>
      </c>
      <c r="G300" s="4" t="s">
        <v>26</v>
      </c>
      <c r="H300" s="4" t="s">
        <v>31</v>
      </c>
      <c r="I300" s="6">
        <v>679359.57773500006</v>
      </c>
      <c r="J300" s="7">
        <v>0.01</v>
      </c>
      <c r="K300" s="7">
        <v>9.9999997764825821E-3</v>
      </c>
      <c r="L300" s="4" t="s">
        <v>28</v>
      </c>
      <c r="M300" s="4" t="s">
        <v>28</v>
      </c>
      <c r="N300" s="4" t="s">
        <v>28</v>
      </c>
      <c r="O300" s="4" t="s">
        <v>28</v>
      </c>
      <c r="P300" s="4" t="s">
        <v>28</v>
      </c>
      <c r="Q300" s="4" t="s">
        <v>28</v>
      </c>
      <c r="R300" s="8">
        <v>46254.791247650457</v>
      </c>
      <c r="S300" s="4" t="s">
        <v>29</v>
      </c>
      <c r="T300" s="4" t="s">
        <v>30</v>
      </c>
    </row>
    <row r="301" spans="1:20" x14ac:dyDescent="0.3">
      <c r="A301" s="4" t="s">
        <v>21</v>
      </c>
      <c r="B301" s="4" t="s">
        <v>69</v>
      </c>
      <c r="C301" s="4" t="s">
        <v>23</v>
      </c>
      <c r="D301" s="5">
        <v>0.1</v>
      </c>
      <c r="E301" s="4" t="s">
        <v>24</v>
      </c>
      <c r="F301" s="4" t="s">
        <v>25</v>
      </c>
      <c r="G301" s="4" t="s">
        <v>26</v>
      </c>
      <c r="H301" s="4" t="s">
        <v>27</v>
      </c>
      <c r="I301" s="6">
        <v>670.80580599999996</v>
      </c>
      <c r="J301" s="7">
        <v>0.01</v>
      </c>
      <c r="K301" s="7">
        <v>9.9999997764825821E-3</v>
      </c>
      <c r="L301" s="4" t="s">
        <v>28</v>
      </c>
      <c r="M301" s="4" t="s">
        <v>28</v>
      </c>
      <c r="N301" s="4" t="s">
        <v>28</v>
      </c>
      <c r="O301" s="4" t="s">
        <v>28</v>
      </c>
      <c r="P301" s="4" t="s">
        <v>28</v>
      </c>
      <c r="Q301" s="4" t="s">
        <v>28</v>
      </c>
      <c r="R301" s="8">
        <v>46254.791248159723</v>
      </c>
      <c r="S301" s="4" t="s">
        <v>29</v>
      </c>
      <c r="T301" s="4" t="s">
        <v>30</v>
      </c>
    </row>
    <row r="302" spans="1:20" x14ac:dyDescent="0.3">
      <c r="A302" s="4" t="s">
        <v>21</v>
      </c>
      <c r="B302" s="4" t="s">
        <v>69</v>
      </c>
      <c r="C302" s="4" t="s">
        <v>23</v>
      </c>
      <c r="D302" s="5">
        <v>0.1</v>
      </c>
      <c r="E302" s="4" t="s">
        <v>24</v>
      </c>
      <c r="F302" s="4" t="s">
        <v>25</v>
      </c>
      <c r="G302" s="4" t="s">
        <v>26</v>
      </c>
      <c r="H302" s="4" t="s">
        <v>31</v>
      </c>
      <c r="I302" s="6">
        <v>679301.44845999999</v>
      </c>
      <c r="J302" s="7">
        <v>0.01</v>
      </c>
      <c r="K302" s="7">
        <v>9.9999997764825821E-3</v>
      </c>
      <c r="L302" s="4" t="s">
        <v>28</v>
      </c>
      <c r="M302" s="4" t="s">
        <v>28</v>
      </c>
      <c r="N302" s="4" t="s">
        <v>28</v>
      </c>
      <c r="O302" s="4" t="s">
        <v>28</v>
      </c>
      <c r="P302" s="4" t="s">
        <v>28</v>
      </c>
      <c r="Q302" s="4" t="s">
        <v>28</v>
      </c>
      <c r="R302" s="8">
        <v>46254.791248159723</v>
      </c>
      <c r="S302" s="4" t="s">
        <v>29</v>
      </c>
      <c r="T302" s="4" t="s">
        <v>30</v>
      </c>
    </row>
    <row r="303" spans="1:20" x14ac:dyDescent="0.3">
      <c r="A303" s="4" t="s">
        <v>21</v>
      </c>
      <c r="B303" s="4" t="s">
        <v>69</v>
      </c>
      <c r="C303" s="4" t="s">
        <v>32</v>
      </c>
      <c r="D303" s="5">
        <v>0.05</v>
      </c>
      <c r="E303" s="4" t="s">
        <v>24</v>
      </c>
      <c r="F303" s="4" t="s">
        <v>25</v>
      </c>
      <c r="G303" s="4" t="s">
        <v>26</v>
      </c>
      <c r="H303" s="4" t="s">
        <v>27</v>
      </c>
      <c r="I303" s="6">
        <v>606.07007999999996</v>
      </c>
      <c r="J303" s="7">
        <v>0.01</v>
      </c>
      <c r="K303" s="7">
        <v>9.9999997764825821E-3</v>
      </c>
      <c r="L303" s="4" t="s">
        <v>28</v>
      </c>
      <c r="M303" s="4" t="s">
        <v>28</v>
      </c>
      <c r="N303" s="4" t="s">
        <v>28</v>
      </c>
      <c r="O303" s="4" t="s">
        <v>28</v>
      </c>
      <c r="P303" s="4" t="s">
        <v>28</v>
      </c>
      <c r="Q303" s="4" t="s">
        <v>28</v>
      </c>
      <c r="R303" s="8">
        <v>46254.791248622692</v>
      </c>
      <c r="S303" s="4" t="s">
        <v>29</v>
      </c>
      <c r="T303" s="4" t="s">
        <v>30</v>
      </c>
    </row>
    <row r="304" spans="1:20" x14ac:dyDescent="0.3">
      <c r="A304" s="4" t="s">
        <v>21</v>
      </c>
      <c r="B304" s="4" t="s">
        <v>69</v>
      </c>
      <c r="C304" s="4" t="s">
        <v>32</v>
      </c>
      <c r="D304" s="5">
        <v>0.05</v>
      </c>
      <c r="E304" s="4" t="s">
        <v>24</v>
      </c>
      <c r="F304" s="4" t="s">
        <v>25</v>
      </c>
      <c r="G304" s="4" t="s">
        <v>26</v>
      </c>
      <c r="H304" s="4" t="s">
        <v>31</v>
      </c>
      <c r="I304" s="6">
        <v>785455.53058699996</v>
      </c>
      <c r="J304" s="7">
        <v>0.01</v>
      </c>
      <c r="K304" s="7">
        <v>9.9999997764825821E-3</v>
      </c>
      <c r="L304" s="4" t="s">
        <v>28</v>
      </c>
      <c r="M304" s="4" t="s">
        <v>28</v>
      </c>
      <c r="N304" s="4" t="s">
        <v>28</v>
      </c>
      <c r="O304" s="4" t="s">
        <v>28</v>
      </c>
      <c r="P304" s="4" t="s">
        <v>28</v>
      </c>
      <c r="Q304" s="4" t="s">
        <v>28</v>
      </c>
      <c r="R304" s="8">
        <v>46254.791248622692</v>
      </c>
      <c r="S304" s="4" t="s">
        <v>29</v>
      </c>
      <c r="T304" s="4" t="s">
        <v>30</v>
      </c>
    </row>
    <row r="305" spans="1:20" x14ac:dyDescent="0.3">
      <c r="A305" s="4" t="s">
        <v>21</v>
      </c>
      <c r="B305" s="4" t="s">
        <v>69</v>
      </c>
      <c r="C305" s="4" t="s">
        <v>32</v>
      </c>
      <c r="D305" s="5">
        <v>0.1</v>
      </c>
      <c r="E305" s="4" t="s">
        <v>24</v>
      </c>
      <c r="F305" s="4" t="s">
        <v>25</v>
      </c>
      <c r="G305" s="4" t="s">
        <v>26</v>
      </c>
      <c r="H305" s="4" t="s">
        <v>27</v>
      </c>
      <c r="I305" s="6">
        <v>559.288678</v>
      </c>
      <c r="J305" s="7">
        <v>0.01</v>
      </c>
      <c r="K305" s="7">
        <v>9.9999997764825821E-3</v>
      </c>
      <c r="L305" s="4" t="s">
        <v>28</v>
      </c>
      <c r="M305" s="4" t="s">
        <v>28</v>
      </c>
      <c r="N305" s="4" t="s">
        <v>28</v>
      </c>
      <c r="O305" s="4" t="s">
        <v>28</v>
      </c>
      <c r="P305" s="4" t="s">
        <v>28</v>
      </c>
      <c r="Q305" s="4" t="s">
        <v>28</v>
      </c>
      <c r="R305" s="8">
        <v>46254.791249074071</v>
      </c>
      <c r="S305" s="4" t="s">
        <v>29</v>
      </c>
      <c r="T305" s="4" t="s">
        <v>30</v>
      </c>
    </row>
    <row r="306" spans="1:20" x14ac:dyDescent="0.3">
      <c r="A306" s="4" t="s">
        <v>21</v>
      </c>
      <c r="B306" s="4" t="s">
        <v>69</v>
      </c>
      <c r="C306" s="4" t="s">
        <v>32</v>
      </c>
      <c r="D306" s="5">
        <v>0.1</v>
      </c>
      <c r="E306" s="4" t="s">
        <v>24</v>
      </c>
      <c r="F306" s="4" t="s">
        <v>25</v>
      </c>
      <c r="G306" s="4" t="s">
        <v>26</v>
      </c>
      <c r="H306" s="4" t="s">
        <v>31</v>
      </c>
      <c r="I306" s="6">
        <v>785408.74918599997</v>
      </c>
      <c r="J306" s="7">
        <v>0.01</v>
      </c>
      <c r="K306" s="7">
        <v>9.9999997764825821E-3</v>
      </c>
      <c r="L306" s="4" t="s">
        <v>28</v>
      </c>
      <c r="M306" s="4" t="s">
        <v>28</v>
      </c>
      <c r="N306" s="4" t="s">
        <v>28</v>
      </c>
      <c r="O306" s="4" t="s">
        <v>28</v>
      </c>
      <c r="P306" s="4" t="s">
        <v>28</v>
      </c>
      <c r="Q306" s="4" t="s">
        <v>28</v>
      </c>
      <c r="R306" s="8">
        <v>46254.791249074071</v>
      </c>
      <c r="S306" s="4" t="s">
        <v>29</v>
      </c>
      <c r="T306" s="4" t="s">
        <v>30</v>
      </c>
    </row>
    <row r="307" spans="1:20" x14ac:dyDescent="0.3">
      <c r="A307" s="4" t="s">
        <v>21</v>
      </c>
      <c r="B307" s="4" t="s">
        <v>70</v>
      </c>
      <c r="C307" s="4" t="s">
        <v>23</v>
      </c>
      <c r="D307" s="5">
        <v>0.05</v>
      </c>
      <c r="E307" s="4" t="s">
        <v>24</v>
      </c>
      <c r="F307" s="4" t="s">
        <v>25</v>
      </c>
      <c r="G307" s="4" t="s">
        <v>26</v>
      </c>
      <c r="H307" s="4" t="s">
        <v>27</v>
      </c>
      <c r="I307" s="6">
        <v>491.99399899999997</v>
      </c>
      <c r="J307" s="7">
        <v>0.01</v>
      </c>
      <c r="K307" s="7">
        <v>9.9999997764825821E-3</v>
      </c>
      <c r="L307" s="4" t="s">
        <v>28</v>
      </c>
      <c r="M307" s="4" t="s">
        <v>28</v>
      </c>
      <c r="N307" s="4" t="s">
        <v>28</v>
      </c>
      <c r="O307" s="4" t="s">
        <v>28</v>
      </c>
      <c r="P307" s="4" t="s">
        <v>28</v>
      </c>
      <c r="Q307" s="4" t="s">
        <v>28</v>
      </c>
      <c r="R307" s="8">
        <v>46254.791798634258</v>
      </c>
      <c r="S307" s="4" t="s">
        <v>29</v>
      </c>
      <c r="T307" s="4" t="s">
        <v>30</v>
      </c>
    </row>
    <row r="308" spans="1:20" x14ac:dyDescent="0.3">
      <c r="A308" s="4" t="s">
        <v>21</v>
      </c>
      <c r="B308" s="4" t="s">
        <v>70</v>
      </c>
      <c r="C308" s="4" t="s">
        <v>23</v>
      </c>
      <c r="D308" s="5">
        <v>0.05</v>
      </c>
      <c r="E308" s="4" t="s">
        <v>24</v>
      </c>
      <c r="F308" s="4" t="s">
        <v>25</v>
      </c>
      <c r="G308" s="4" t="s">
        <v>26</v>
      </c>
      <c r="H308" s="4" t="s">
        <v>31</v>
      </c>
      <c r="I308" s="6">
        <v>679156.13000600005</v>
      </c>
      <c r="J308" s="7">
        <v>0.01</v>
      </c>
      <c r="K308" s="7">
        <v>9.9999997764825821E-3</v>
      </c>
      <c r="L308" s="4" t="s">
        <v>28</v>
      </c>
      <c r="M308" s="4" t="s">
        <v>28</v>
      </c>
      <c r="N308" s="4" t="s">
        <v>28</v>
      </c>
      <c r="O308" s="4" t="s">
        <v>28</v>
      </c>
      <c r="P308" s="4" t="s">
        <v>28</v>
      </c>
      <c r="Q308" s="4" t="s">
        <v>28</v>
      </c>
      <c r="R308" s="8">
        <v>46254.791798634258</v>
      </c>
      <c r="S308" s="4" t="s">
        <v>29</v>
      </c>
      <c r="T308" s="4" t="s">
        <v>30</v>
      </c>
    </row>
    <row r="309" spans="1:20" x14ac:dyDescent="0.3">
      <c r="A309" s="4" t="s">
        <v>21</v>
      </c>
      <c r="B309" s="4" t="s">
        <v>70</v>
      </c>
      <c r="C309" s="4" t="s">
        <v>23</v>
      </c>
      <c r="D309" s="5">
        <v>0.1</v>
      </c>
      <c r="E309" s="4" t="s">
        <v>24</v>
      </c>
      <c r="F309" s="4" t="s">
        <v>25</v>
      </c>
      <c r="G309" s="4" t="s">
        <v>26</v>
      </c>
      <c r="H309" s="4" t="s">
        <v>27</v>
      </c>
      <c r="I309" s="6">
        <v>453.83120500000001</v>
      </c>
      <c r="J309" s="7">
        <v>0.01</v>
      </c>
      <c r="K309" s="7">
        <v>9.9999997764825821E-3</v>
      </c>
      <c r="L309" s="4" t="s">
        <v>28</v>
      </c>
      <c r="M309" s="4" t="s">
        <v>28</v>
      </c>
      <c r="N309" s="4" t="s">
        <v>28</v>
      </c>
      <c r="O309" s="4" t="s">
        <v>28</v>
      </c>
      <c r="P309" s="4" t="s">
        <v>28</v>
      </c>
      <c r="Q309" s="4" t="s">
        <v>28</v>
      </c>
      <c r="R309" s="8">
        <v>46254.791799143517</v>
      </c>
      <c r="S309" s="4" t="s">
        <v>29</v>
      </c>
      <c r="T309" s="4" t="s">
        <v>30</v>
      </c>
    </row>
    <row r="310" spans="1:20" x14ac:dyDescent="0.3">
      <c r="A310" s="4" t="s">
        <v>21</v>
      </c>
      <c r="B310" s="4" t="s">
        <v>70</v>
      </c>
      <c r="C310" s="4" t="s">
        <v>23</v>
      </c>
      <c r="D310" s="5">
        <v>0.1</v>
      </c>
      <c r="E310" s="4" t="s">
        <v>24</v>
      </c>
      <c r="F310" s="4" t="s">
        <v>25</v>
      </c>
      <c r="G310" s="4" t="s">
        <v>26</v>
      </c>
      <c r="H310" s="4" t="s">
        <v>31</v>
      </c>
      <c r="I310" s="6">
        <v>679117.96721100004</v>
      </c>
      <c r="J310" s="7">
        <v>0.01</v>
      </c>
      <c r="K310" s="7">
        <v>9.9999997764825821E-3</v>
      </c>
      <c r="L310" s="4" t="s">
        <v>28</v>
      </c>
      <c r="M310" s="4" t="s">
        <v>28</v>
      </c>
      <c r="N310" s="4" t="s">
        <v>28</v>
      </c>
      <c r="O310" s="4" t="s">
        <v>28</v>
      </c>
      <c r="P310" s="4" t="s">
        <v>28</v>
      </c>
      <c r="Q310" s="4" t="s">
        <v>28</v>
      </c>
      <c r="R310" s="8">
        <v>46254.791799143517</v>
      </c>
      <c r="S310" s="4" t="s">
        <v>29</v>
      </c>
      <c r="T310" s="4" t="s">
        <v>30</v>
      </c>
    </row>
    <row r="311" spans="1:20" x14ac:dyDescent="0.3">
      <c r="A311" s="4" t="s">
        <v>21</v>
      </c>
      <c r="B311" s="4" t="s">
        <v>70</v>
      </c>
      <c r="C311" s="4" t="s">
        <v>32</v>
      </c>
      <c r="D311" s="5">
        <v>0.05</v>
      </c>
      <c r="E311" s="4" t="s">
        <v>24</v>
      </c>
      <c r="F311" s="4" t="s">
        <v>25</v>
      </c>
      <c r="G311" s="4" t="s">
        <v>26</v>
      </c>
      <c r="H311" s="4" t="s">
        <v>27</v>
      </c>
      <c r="I311" s="6">
        <v>419.63170200000002</v>
      </c>
      <c r="J311" s="7">
        <v>0.01</v>
      </c>
      <c r="K311" s="7">
        <v>9.9999997764825821E-3</v>
      </c>
      <c r="L311" s="4" t="s">
        <v>28</v>
      </c>
      <c r="M311" s="4" t="s">
        <v>28</v>
      </c>
      <c r="N311" s="4" t="s">
        <v>28</v>
      </c>
      <c r="O311" s="4" t="s">
        <v>28</v>
      </c>
      <c r="P311" s="4" t="s">
        <v>28</v>
      </c>
      <c r="Q311" s="4" t="s">
        <v>28</v>
      </c>
      <c r="R311" s="8">
        <v>46254.791799664352</v>
      </c>
      <c r="S311" s="4" t="s">
        <v>29</v>
      </c>
      <c r="T311" s="4" t="s">
        <v>30</v>
      </c>
    </row>
    <row r="312" spans="1:20" x14ac:dyDescent="0.3">
      <c r="A312" s="4" t="s">
        <v>21</v>
      </c>
      <c r="B312" s="4" t="s">
        <v>70</v>
      </c>
      <c r="C312" s="4" t="s">
        <v>32</v>
      </c>
      <c r="D312" s="5">
        <v>0.05</v>
      </c>
      <c r="E312" s="4" t="s">
        <v>24</v>
      </c>
      <c r="F312" s="4" t="s">
        <v>25</v>
      </c>
      <c r="G312" s="4" t="s">
        <v>26</v>
      </c>
      <c r="H312" s="4" t="s">
        <v>31</v>
      </c>
      <c r="I312" s="6">
        <v>785294.52874900005</v>
      </c>
      <c r="J312" s="7">
        <v>0.01</v>
      </c>
      <c r="K312" s="7">
        <v>9.9999997764825821E-3</v>
      </c>
      <c r="L312" s="4" t="s">
        <v>28</v>
      </c>
      <c r="M312" s="4" t="s">
        <v>28</v>
      </c>
      <c r="N312" s="4" t="s">
        <v>28</v>
      </c>
      <c r="O312" s="4" t="s">
        <v>28</v>
      </c>
      <c r="P312" s="4" t="s">
        <v>28</v>
      </c>
      <c r="Q312" s="4" t="s">
        <v>28</v>
      </c>
      <c r="R312" s="8">
        <v>46254.791799664352</v>
      </c>
      <c r="S312" s="4" t="s">
        <v>29</v>
      </c>
      <c r="T312" s="4" t="s">
        <v>30</v>
      </c>
    </row>
    <row r="313" spans="1:20" x14ac:dyDescent="0.3">
      <c r="A313" s="4" t="s">
        <v>21</v>
      </c>
      <c r="B313" s="4" t="s">
        <v>70</v>
      </c>
      <c r="C313" s="4" t="s">
        <v>32</v>
      </c>
      <c r="D313" s="5">
        <v>0.1</v>
      </c>
      <c r="E313" s="4" t="s">
        <v>24</v>
      </c>
      <c r="F313" s="4" t="s">
        <v>25</v>
      </c>
      <c r="G313" s="4" t="s">
        <v>26</v>
      </c>
      <c r="H313" s="4" t="s">
        <v>27</v>
      </c>
      <c r="I313" s="6">
        <v>387.95971100000003</v>
      </c>
      <c r="J313" s="7">
        <v>0.01</v>
      </c>
      <c r="K313" s="7">
        <v>9.9999997764825821E-3</v>
      </c>
      <c r="L313" s="4" t="s">
        <v>28</v>
      </c>
      <c r="M313" s="4" t="s">
        <v>28</v>
      </c>
      <c r="N313" s="4" t="s">
        <v>28</v>
      </c>
      <c r="O313" s="4" t="s">
        <v>28</v>
      </c>
      <c r="P313" s="4" t="s">
        <v>28</v>
      </c>
      <c r="Q313" s="4" t="s">
        <v>28</v>
      </c>
      <c r="R313" s="8">
        <v>46254.791800115738</v>
      </c>
      <c r="S313" s="4" t="s">
        <v>29</v>
      </c>
      <c r="T313" s="4" t="s">
        <v>30</v>
      </c>
    </row>
    <row r="314" spans="1:20" x14ac:dyDescent="0.3">
      <c r="A314" s="4" t="s">
        <v>21</v>
      </c>
      <c r="B314" s="4" t="s">
        <v>70</v>
      </c>
      <c r="C314" s="4" t="s">
        <v>32</v>
      </c>
      <c r="D314" s="5">
        <v>0.1</v>
      </c>
      <c r="E314" s="4" t="s">
        <v>24</v>
      </c>
      <c r="F314" s="4" t="s">
        <v>25</v>
      </c>
      <c r="G314" s="4" t="s">
        <v>26</v>
      </c>
      <c r="H314" s="4" t="s">
        <v>31</v>
      </c>
      <c r="I314" s="6">
        <v>785262.85675799998</v>
      </c>
      <c r="J314" s="7">
        <v>0.01</v>
      </c>
      <c r="K314" s="7">
        <v>9.9999997764825821E-3</v>
      </c>
      <c r="L314" s="4" t="s">
        <v>28</v>
      </c>
      <c r="M314" s="4" t="s">
        <v>28</v>
      </c>
      <c r="N314" s="4" t="s">
        <v>28</v>
      </c>
      <c r="O314" s="4" t="s">
        <v>28</v>
      </c>
      <c r="P314" s="4" t="s">
        <v>28</v>
      </c>
      <c r="Q314" s="4" t="s">
        <v>28</v>
      </c>
      <c r="R314" s="8">
        <v>46254.791800115738</v>
      </c>
      <c r="S314" s="4" t="s">
        <v>29</v>
      </c>
      <c r="T314" s="4" t="s">
        <v>30</v>
      </c>
    </row>
    <row r="315" spans="1:20" x14ac:dyDescent="0.3">
      <c r="A315" s="4" t="s">
        <v>21</v>
      </c>
      <c r="B315" s="4" t="s">
        <v>71</v>
      </c>
      <c r="C315" s="4" t="s">
        <v>23</v>
      </c>
      <c r="D315" s="5">
        <v>0.05</v>
      </c>
      <c r="E315" s="4" t="s">
        <v>24</v>
      </c>
      <c r="F315" s="4" t="s">
        <v>25</v>
      </c>
      <c r="G315" s="4" t="s">
        <v>26</v>
      </c>
      <c r="H315" s="4" t="s">
        <v>27</v>
      </c>
      <c r="I315" s="6">
        <v>244.75125299999999</v>
      </c>
      <c r="J315" s="7">
        <v>0.01</v>
      </c>
      <c r="K315" s="7">
        <v>9.9999997764825821E-3</v>
      </c>
      <c r="L315" s="4" t="s">
        <v>28</v>
      </c>
      <c r="M315" s="4" t="s">
        <v>28</v>
      </c>
      <c r="N315" s="4" t="s">
        <v>28</v>
      </c>
      <c r="O315" s="4" t="s">
        <v>28</v>
      </c>
      <c r="P315" s="4" t="s">
        <v>28</v>
      </c>
      <c r="Q315" s="4" t="s">
        <v>28</v>
      </c>
      <c r="R315" s="8">
        <v>46254.792055115737</v>
      </c>
      <c r="S315" s="4" t="s">
        <v>29</v>
      </c>
      <c r="T315" s="4" t="s">
        <v>30</v>
      </c>
    </row>
    <row r="316" spans="1:20" x14ac:dyDescent="0.3">
      <c r="A316" s="4" t="s">
        <v>21</v>
      </c>
      <c r="B316" s="4" t="s">
        <v>71</v>
      </c>
      <c r="C316" s="4" t="s">
        <v>23</v>
      </c>
      <c r="D316" s="5">
        <v>0.05</v>
      </c>
      <c r="E316" s="4" t="s">
        <v>24</v>
      </c>
      <c r="F316" s="4" t="s">
        <v>25</v>
      </c>
      <c r="G316" s="4" t="s">
        <v>26</v>
      </c>
      <c r="H316" s="4" t="s">
        <v>31</v>
      </c>
      <c r="I316" s="6">
        <v>678959.68941800005</v>
      </c>
      <c r="J316" s="7">
        <v>0.01</v>
      </c>
      <c r="K316" s="7">
        <v>9.9999997764825821E-3</v>
      </c>
      <c r="L316" s="4" t="s">
        <v>28</v>
      </c>
      <c r="M316" s="4" t="s">
        <v>28</v>
      </c>
      <c r="N316" s="4" t="s">
        <v>28</v>
      </c>
      <c r="O316" s="4" t="s">
        <v>28</v>
      </c>
      <c r="P316" s="4" t="s">
        <v>28</v>
      </c>
      <c r="Q316" s="4" t="s">
        <v>28</v>
      </c>
      <c r="R316" s="8">
        <v>46254.792055115737</v>
      </c>
      <c r="S316" s="4" t="s">
        <v>29</v>
      </c>
      <c r="T316" s="4" t="s">
        <v>30</v>
      </c>
    </row>
    <row r="317" spans="1:20" x14ac:dyDescent="0.3">
      <c r="A317" s="4" t="s">
        <v>21</v>
      </c>
      <c r="B317" s="4" t="s">
        <v>71</v>
      </c>
      <c r="C317" s="4" t="s">
        <v>23</v>
      </c>
      <c r="D317" s="5">
        <v>0.1</v>
      </c>
      <c r="E317" s="4" t="s">
        <v>24</v>
      </c>
      <c r="F317" s="4" t="s">
        <v>25</v>
      </c>
      <c r="G317" s="4" t="s">
        <v>26</v>
      </c>
      <c r="H317" s="4" t="s">
        <v>27</v>
      </c>
      <c r="I317" s="6">
        <v>226.525272</v>
      </c>
      <c r="J317" s="7">
        <v>0.01</v>
      </c>
      <c r="K317" s="7">
        <v>9.9999997764825821E-3</v>
      </c>
      <c r="L317" s="4" t="s">
        <v>28</v>
      </c>
      <c r="M317" s="4" t="s">
        <v>28</v>
      </c>
      <c r="N317" s="4" t="s">
        <v>28</v>
      </c>
      <c r="O317" s="4" t="s">
        <v>28</v>
      </c>
      <c r="P317" s="4" t="s">
        <v>28</v>
      </c>
      <c r="Q317" s="4" t="s">
        <v>28</v>
      </c>
      <c r="R317" s="8">
        <v>46254.792055694437</v>
      </c>
      <c r="S317" s="4" t="s">
        <v>29</v>
      </c>
      <c r="T317" s="4" t="s">
        <v>30</v>
      </c>
    </row>
    <row r="318" spans="1:20" x14ac:dyDescent="0.3">
      <c r="A318" s="4" t="s">
        <v>21</v>
      </c>
      <c r="B318" s="4" t="s">
        <v>71</v>
      </c>
      <c r="C318" s="4" t="s">
        <v>23</v>
      </c>
      <c r="D318" s="5">
        <v>0.1</v>
      </c>
      <c r="E318" s="4" t="s">
        <v>24</v>
      </c>
      <c r="F318" s="4" t="s">
        <v>25</v>
      </c>
      <c r="G318" s="4" t="s">
        <v>26</v>
      </c>
      <c r="H318" s="4" t="s">
        <v>31</v>
      </c>
      <c r="I318" s="6">
        <v>678941.46343700006</v>
      </c>
      <c r="J318" s="7">
        <v>0.01</v>
      </c>
      <c r="K318" s="7">
        <v>9.9999997764825821E-3</v>
      </c>
      <c r="L318" s="4" t="s">
        <v>28</v>
      </c>
      <c r="M318" s="4" t="s">
        <v>28</v>
      </c>
      <c r="N318" s="4" t="s">
        <v>28</v>
      </c>
      <c r="O318" s="4" t="s">
        <v>28</v>
      </c>
      <c r="P318" s="4" t="s">
        <v>28</v>
      </c>
      <c r="Q318" s="4" t="s">
        <v>28</v>
      </c>
      <c r="R318" s="8">
        <v>46254.792055694437</v>
      </c>
      <c r="S318" s="4" t="s">
        <v>29</v>
      </c>
      <c r="T318" s="4" t="s">
        <v>30</v>
      </c>
    </row>
    <row r="319" spans="1:20" x14ac:dyDescent="0.3">
      <c r="A319" s="4" t="s">
        <v>21</v>
      </c>
      <c r="B319" s="4" t="s">
        <v>71</v>
      </c>
      <c r="C319" s="4" t="s">
        <v>32</v>
      </c>
      <c r="D319" s="5">
        <v>0.05</v>
      </c>
      <c r="E319" s="4" t="s">
        <v>24</v>
      </c>
      <c r="F319" s="4" t="s">
        <v>25</v>
      </c>
      <c r="G319" s="4" t="s">
        <v>26</v>
      </c>
      <c r="H319" s="4" t="s">
        <v>27</v>
      </c>
      <c r="I319" s="6">
        <v>214.21343200000001</v>
      </c>
      <c r="J319" s="7">
        <v>0.01</v>
      </c>
      <c r="K319" s="7">
        <v>9.9999997764825821E-3</v>
      </c>
      <c r="L319" s="4" t="s">
        <v>28</v>
      </c>
      <c r="M319" s="4" t="s">
        <v>28</v>
      </c>
      <c r="N319" s="4" t="s">
        <v>28</v>
      </c>
      <c r="O319" s="4" t="s">
        <v>28</v>
      </c>
      <c r="P319" s="4" t="s">
        <v>28</v>
      </c>
      <c r="Q319" s="4" t="s">
        <v>28</v>
      </c>
      <c r="R319" s="8">
        <v>46254.792056226848</v>
      </c>
      <c r="S319" s="4" t="s">
        <v>29</v>
      </c>
      <c r="T319" s="4" t="s">
        <v>30</v>
      </c>
    </row>
    <row r="320" spans="1:20" x14ac:dyDescent="0.3">
      <c r="A320" s="4" t="s">
        <v>21</v>
      </c>
      <c r="B320" s="4" t="s">
        <v>71</v>
      </c>
      <c r="C320" s="4" t="s">
        <v>32</v>
      </c>
      <c r="D320" s="5">
        <v>0.05</v>
      </c>
      <c r="E320" s="4" t="s">
        <v>24</v>
      </c>
      <c r="F320" s="4" t="s">
        <v>25</v>
      </c>
      <c r="G320" s="4" t="s">
        <v>26</v>
      </c>
      <c r="H320" s="4" t="s">
        <v>31</v>
      </c>
      <c r="I320" s="6">
        <v>785131.47149100003</v>
      </c>
      <c r="J320" s="7">
        <v>0.01</v>
      </c>
      <c r="K320" s="7">
        <v>9.9999997764825821E-3</v>
      </c>
      <c r="L320" s="4" t="s">
        <v>28</v>
      </c>
      <c r="M320" s="4" t="s">
        <v>28</v>
      </c>
      <c r="N320" s="4" t="s">
        <v>28</v>
      </c>
      <c r="O320" s="4" t="s">
        <v>28</v>
      </c>
      <c r="P320" s="4" t="s">
        <v>28</v>
      </c>
      <c r="Q320" s="4" t="s">
        <v>28</v>
      </c>
      <c r="R320" s="8">
        <v>46254.792056226848</v>
      </c>
      <c r="S320" s="4" t="s">
        <v>29</v>
      </c>
      <c r="T320" s="4" t="s">
        <v>30</v>
      </c>
    </row>
    <row r="321" spans="1:20" x14ac:dyDescent="0.3">
      <c r="A321" s="4" t="s">
        <v>21</v>
      </c>
      <c r="B321" s="4" t="s">
        <v>71</v>
      </c>
      <c r="C321" s="4" t="s">
        <v>32</v>
      </c>
      <c r="D321" s="5">
        <v>0.1</v>
      </c>
      <c r="E321" s="4" t="s">
        <v>24</v>
      </c>
      <c r="F321" s="4" t="s">
        <v>25</v>
      </c>
      <c r="G321" s="4" t="s">
        <v>26</v>
      </c>
      <c r="H321" s="4" t="s">
        <v>27</v>
      </c>
      <c r="I321" s="6">
        <v>198.62004300000001</v>
      </c>
      <c r="J321" s="7">
        <v>0.01</v>
      </c>
      <c r="K321" s="7">
        <v>9.9999997764825821E-3</v>
      </c>
      <c r="L321" s="4" t="s">
        <v>28</v>
      </c>
      <c r="M321" s="4" t="s">
        <v>28</v>
      </c>
      <c r="N321" s="4" t="s">
        <v>28</v>
      </c>
      <c r="O321" s="4" t="s">
        <v>28</v>
      </c>
      <c r="P321" s="4" t="s">
        <v>28</v>
      </c>
      <c r="Q321" s="4" t="s">
        <v>28</v>
      </c>
      <c r="R321" s="8">
        <v>46254.792057361112</v>
      </c>
      <c r="S321" s="4" t="s">
        <v>29</v>
      </c>
      <c r="T321" s="4" t="s">
        <v>30</v>
      </c>
    </row>
    <row r="322" spans="1:20" x14ac:dyDescent="0.3">
      <c r="A322" s="4" t="s">
        <v>21</v>
      </c>
      <c r="B322" s="4" t="s">
        <v>71</v>
      </c>
      <c r="C322" s="4" t="s">
        <v>32</v>
      </c>
      <c r="D322" s="5">
        <v>0.1</v>
      </c>
      <c r="E322" s="4" t="s">
        <v>24</v>
      </c>
      <c r="F322" s="4" t="s">
        <v>25</v>
      </c>
      <c r="G322" s="4" t="s">
        <v>26</v>
      </c>
      <c r="H322" s="4" t="s">
        <v>31</v>
      </c>
      <c r="I322" s="6">
        <v>785115.878103</v>
      </c>
      <c r="J322" s="7">
        <v>0.01</v>
      </c>
      <c r="K322" s="7">
        <v>9.9999997764825821E-3</v>
      </c>
      <c r="L322" s="4" t="s">
        <v>28</v>
      </c>
      <c r="M322" s="4" t="s">
        <v>28</v>
      </c>
      <c r="N322" s="4" t="s">
        <v>28</v>
      </c>
      <c r="O322" s="4" t="s">
        <v>28</v>
      </c>
      <c r="P322" s="4" t="s">
        <v>28</v>
      </c>
      <c r="Q322" s="4" t="s">
        <v>28</v>
      </c>
      <c r="R322" s="8">
        <v>46254.792057361112</v>
      </c>
      <c r="S322" s="4" t="s">
        <v>29</v>
      </c>
      <c r="T322" s="4" t="s">
        <v>30</v>
      </c>
    </row>
    <row r="323" spans="1:20" x14ac:dyDescent="0.3">
      <c r="A323" s="4" t="s">
        <v>21</v>
      </c>
      <c r="B323" s="4" t="s">
        <v>72</v>
      </c>
      <c r="C323" s="4" t="s">
        <v>23</v>
      </c>
      <c r="D323" s="5">
        <v>0.05</v>
      </c>
      <c r="E323" s="4" t="s">
        <v>24</v>
      </c>
      <c r="F323" s="4" t="s">
        <v>25</v>
      </c>
      <c r="G323" s="4" t="s">
        <v>26</v>
      </c>
      <c r="H323" s="4" t="s">
        <v>27</v>
      </c>
      <c r="I323" s="6">
        <v>80.563286000000005</v>
      </c>
      <c r="J323" s="7">
        <v>0.01</v>
      </c>
      <c r="K323" s="7">
        <v>9.9999997764825821E-3</v>
      </c>
      <c r="L323" s="4" t="s">
        <v>28</v>
      </c>
      <c r="M323" s="4" t="s">
        <v>28</v>
      </c>
      <c r="N323" s="4" t="s">
        <v>28</v>
      </c>
      <c r="O323" s="4" t="s">
        <v>28</v>
      </c>
      <c r="P323" s="4" t="s">
        <v>28</v>
      </c>
      <c r="Q323" s="4" t="s">
        <v>28</v>
      </c>
      <c r="R323" s="8">
        <v>46254.79251269676</v>
      </c>
      <c r="S323" s="4" t="s">
        <v>29</v>
      </c>
      <c r="T323" s="4" t="s">
        <v>30</v>
      </c>
    </row>
    <row r="324" spans="1:20" x14ac:dyDescent="0.3">
      <c r="A324" s="4" t="s">
        <v>21</v>
      </c>
      <c r="B324" s="4" t="s">
        <v>72</v>
      </c>
      <c r="C324" s="4" t="s">
        <v>23</v>
      </c>
      <c r="D324" s="5">
        <v>0.05</v>
      </c>
      <c r="E324" s="4" t="s">
        <v>24</v>
      </c>
      <c r="F324" s="4" t="s">
        <v>25</v>
      </c>
      <c r="G324" s="4" t="s">
        <v>26</v>
      </c>
      <c r="H324" s="4" t="s">
        <v>31</v>
      </c>
      <c r="I324" s="6">
        <v>678833.42086399999</v>
      </c>
      <c r="J324" s="7">
        <v>0.01</v>
      </c>
      <c r="K324" s="7">
        <v>9.9999997764825821E-3</v>
      </c>
      <c r="L324" s="4" t="s">
        <v>28</v>
      </c>
      <c r="M324" s="4" t="s">
        <v>28</v>
      </c>
      <c r="N324" s="4" t="s">
        <v>28</v>
      </c>
      <c r="O324" s="4" t="s">
        <v>28</v>
      </c>
      <c r="P324" s="4" t="s">
        <v>28</v>
      </c>
      <c r="Q324" s="4" t="s">
        <v>28</v>
      </c>
      <c r="R324" s="8">
        <v>46254.79251269676</v>
      </c>
      <c r="S324" s="4" t="s">
        <v>29</v>
      </c>
      <c r="T324" s="4" t="s">
        <v>30</v>
      </c>
    </row>
    <row r="325" spans="1:20" x14ac:dyDescent="0.3">
      <c r="A325" s="4" t="s">
        <v>21</v>
      </c>
      <c r="B325" s="4" t="s">
        <v>72</v>
      </c>
      <c r="C325" s="4" t="s">
        <v>23</v>
      </c>
      <c r="D325" s="5">
        <v>0.1</v>
      </c>
      <c r="E325" s="4" t="s">
        <v>24</v>
      </c>
      <c r="F325" s="4" t="s">
        <v>25</v>
      </c>
      <c r="G325" s="4" t="s">
        <v>26</v>
      </c>
      <c r="H325" s="4" t="s">
        <v>27</v>
      </c>
      <c r="I325" s="6">
        <v>75.079644999999999</v>
      </c>
      <c r="J325" s="7">
        <v>0.01</v>
      </c>
      <c r="K325" s="7">
        <v>9.9999997764825821E-3</v>
      </c>
      <c r="L325" s="4" t="s">
        <v>28</v>
      </c>
      <c r="M325" s="4" t="s">
        <v>28</v>
      </c>
      <c r="N325" s="4" t="s">
        <v>28</v>
      </c>
      <c r="O325" s="4" t="s">
        <v>28</v>
      </c>
      <c r="P325" s="4" t="s">
        <v>28</v>
      </c>
      <c r="Q325" s="4" t="s">
        <v>28</v>
      </c>
      <c r="R325" s="8">
        <v>46254.792513252323</v>
      </c>
      <c r="S325" s="4" t="s">
        <v>29</v>
      </c>
      <c r="T325" s="4" t="s">
        <v>30</v>
      </c>
    </row>
    <row r="326" spans="1:20" x14ac:dyDescent="0.3">
      <c r="A326" s="4" t="s">
        <v>21</v>
      </c>
      <c r="B326" s="4" t="s">
        <v>72</v>
      </c>
      <c r="C326" s="4" t="s">
        <v>23</v>
      </c>
      <c r="D326" s="5">
        <v>0.1</v>
      </c>
      <c r="E326" s="4" t="s">
        <v>24</v>
      </c>
      <c r="F326" s="4" t="s">
        <v>25</v>
      </c>
      <c r="G326" s="4" t="s">
        <v>26</v>
      </c>
      <c r="H326" s="4" t="s">
        <v>31</v>
      </c>
      <c r="I326" s="6">
        <v>678827.93722399999</v>
      </c>
      <c r="J326" s="7">
        <v>0.01</v>
      </c>
      <c r="K326" s="7">
        <v>9.9999997764825821E-3</v>
      </c>
      <c r="L326" s="4" t="s">
        <v>28</v>
      </c>
      <c r="M326" s="4" t="s">
        <v>28</v>
      </c>
      <c r="N326" s="4" t="s">
        <v>28</v>
      </c>
      <c r="O326" s="4" t="s">
        <v>28</v>
      </c>
      <c r="P326" s="4" t="s">
        <v>28</v>
      </c>
      <c r="Q326" s="4" t="s">
        <v>28</v>
      </c>
      <c r="R326" s="8">
        <v>46254.792513252323</v>
      </c>
      <c r="S326" s="4" t="s">
        <v>29</v>
      </c>
      <c r="T326" s="4" t="s">
        <v>30</v>
      </c>
    </row>
    <row r="327" spans="1:20" x14ac:dyDescent="0.3">
      <c r="A327" s="4" t="s">
        <v>21</v>
      </c>
      <c r="B327" s="4" t="s">
        <v>72</v>
      </c>
      <c r="C327" s="4" t="s">
        <v>32</v>
      </c>
      <c r="D327" s="5">
        <v>0.05</v>
      </c>
      <c r="E327" s="4" t="s">
        <v>24</v>
      </c>
      <c r="F327" s="4" t="s">
        <v>25</v>
      </c>
      <c r="G327" s="4" t="s">
        <v>26</v>
      </c>
      <c r="H327" s="4" t="s">
        <v>27</v>
      </c>
      <c r="I327" s="6">
        <v>72.521474999999995</v>
      </c>
      <c r="J327" s="7">
        <v>0.01</v>
      </c>
      <c r="K327" s="7">
        <v>9.9999997764825821E-3</v>
      </c>
      <c r="L327" s="4" t="s">
        <v>28</v>
      </c>
      <c r="M327" s="4" t="s">
        <v>28</v>
      </c>
      <c r="N327" s="4" t="s">
        <v>28</v>
      </c>
      <c r="O327" s="4" t="s">
        <v>28</v>
      </c>
      <c r="P327" s="4" t="s">
        <v>28</v>
      </c>
      <c r="Q327" s="4" t="s">
        <v>28</v>
      </c>
      <c r="R327" s="8">
        <v>46254.792513807872</v>
      </c>
      <c r="S327" s="4" t="s">
        <v>29</v>
      </c>
      <c r="T327" s="4" t="s">
        <v>30</v>
      </c>
    </row>
    <row r="328" spans="1:20" x14ac:dyDescent="0.3">
      <c r="A328" s="4" t="s">
        <v>21</v>
      </c>
      <c r="B328" s="4" t="s">
        <v>72</v>
      </c>
      <c r="C328" s="4" t="s">
        <v>32</v>
      </c>
      <c r="D328" s="5">
        <v>0.05</v>
      </c>
      <c r="E328" s="4" t="s">
        <v>24</v>
      </c>
      <c r="F328" s="4" t="s">
        <v>25</v>
      </c>
      <c r="G328" s="4" t="s">
        <v>26</v>
      </c>
      <c r="H328" s="4" t="s">
        <v>31</v>
      </c>
      <c r="I328" s="6">
        <v>785022.37476599996</v>
      </c>
      <c r="J328" s="7">
        <v>0.01</v>
      </c>
      <c r="K328" s="7">
        <v>9.9999997764825821E-3</v>
      </c>
      <c r="L328" s="4" t="s">
        <v>28</v>
      </c>
      <c r="M328" s="4" t="s">
        <v>28</v>
      </c>
      <c r="N328" s="4" t="s">
        <v>28</v>
      </c>
      <c r="O328" s="4" t="s">
        <v>28</v>
      </c>
      <c r="P328" s="4" t="s">
        <v>28</v>
      </c>
      <c r="Q328" s="4" t="s">
        <v>28</v>
      </c>
      <c r="R328" s="8">
        <v>46254.792513807872</v>
      </c>
      <c r="S328" s="4" t="s">
        <v>29</v>
      </c>
      <c r="T328" s="4" t="s">
        <v>30</v>
      </c>
    </row>
    <row r="329" spans="1:20" x14ac:dyDescent="0.3">
      <c r="A329" s="4" t="s">
        <v>21</v>
      </c>
      <c r="B329" s="4" t="s">
        <v>72</v>
      </c>
      <c r="C329" s="4" t="s">
        <v>32</v>
      </c>
      <c r="D329" s="5">
        <v>0.1</v>
      </c>
      <c r="E329" s="4" t="s">
        <v>24</v>
      </c>
      <c r="F329" s="4" t="s">
        <v>25</v>
      </c>
      <c r="G329" s="4" t="s">
        <v>26</v>
      </c>
      <c r="H329" s="4" t="s">
        <v>27</v>
      </c>
      <c r="I329" s="6">
        <v>67.657959000000005</v>
      </c>
      <c r="J329" s="7">
        <v>0.01</v>
      </c>
      <c r="K329" s="7">
        <v>9.9999997764825821E-3</v>
      </c>
      <c r="L329" s="4" t="s">
        <v>28</v>
      </c>
      <c r="M329" s="4" t="s">
        <v>28</v>
      </c>
      <c r="N329" s="4" t="s">
        <v>28</v>
      </c>
      <c r="O329" s="4" t="s">
        <v>28</v>
      </c>
      <c r="P329" s="4" t="s">
        <v>28</v>
      </c>
      <c r="Q329" s="4" t="s">
        <v>28</v>
      </c>
      <c r="R329" s="8">
        <v>46254.792514675923</v>
      </c>
      <c r="S329" s="4" t="s">
        <v>29</v>
      </c>
      <c r="T329" s="4" t="s">
        <v>30</v>
      </c>
    </row>
    <row r="330" spans="1:20" x14ac:dyDescent="0.3">
      <c r="A330" s="4" t="s">
        <v>21</v>
      </c>
      <c r="B330" s="4" t="s">
        <v>72</v>
      </c>
      <c r="C330" s="4" t="s">
        <v>32</v>
      </c>
      <c r="D330" s="5">
        <v>0.1</v>
      </c>
      <c r="E330" s="4" t="s">
        <v>24</v>
      </c>
      <c r="F330" s="4" t="s">
        <v>25</v>
      </c>
      <c r="G330" s="4" t="s">
        <v>26</v>
      </c>
      <c r="H330" s="4" t="s">
        <v>31</v>
      </c>
      <c r="I330" s="6">
        <v>785017.51124999998</v>
      </c>
      <c r="J330" s="7">
        <v>0.01</v>
      </c>
      <c r="K330" s="7">
        <v>9.9999997764825821E-3</v>
      </c>
      <c r="L330" s="4" t="s">
        <v>28</v>
      </c>
      <c r="M330" s="4" t="s">
        <v>28</v>
      </c>
      <c r="N330" s="4" t="s">
        <v>28</v>
      </c>
      <c r="O330" s="4" t="s">
        <v>28</v>
      </c>
      <c r="P330" s="4" t="s">
        <v>28</v>
      </c>
      <c r="Q330" s="4" t="s">
        <v>28</v>
      </c>
      <c r="R330" s="8">
        <v>46254.792514675923</v>
      </c>
      <c r="S330" s="4" t="s">
        <v>29</v>
      </c>
      <c r="T330" s="4" t="s">
        <v>30</v>
      </c>
    </row>
    <row r="331" spans="1:20" x14ac:dyDescent="0.3">
      <c r="A331" s="4" t="s">
        <v>21</v>
      </c>
      <c r="B331" s="4" t="s">
        <v>73</v>
      </c>
      <c r="C331" s="4" t="s">
        <v>23</v>
      </c>
      <c r="D331" s="5">
        <v>0.05</v>
      </c>
      <c r="E331" s="4" t="s">
        <v>24</v>
      </c>
      <c r="F331" s="4" t="s">
        <v>25</v>
      </c>
      <c r="G331" s="4" t="s">
        <v>26</v>
      </c>
      <c r="H331" s="4" t="s">
        <v>27</v>
      </c>
      <c r="I331" s="6">
        <v>22.738443</v>
      </c>
      <c r="J331" s="7">
        <v>0.01</v>
      </c>
      <c r="K331" s="7">
        <v>9.9999997764825821E-3</v>
      </c>
      <c r="L331" s="4" t="s">
        <v>28</v>
      </c>
      <c r="M331" s="4" t="s">
        <v>28</v>
      </c>
      <c r="N331" s="4" t="s">
        <v>28</v>
      </c>
      <c r="O331" s="4" t="s">
        <v>28</v>
      </c>
      <c r="P331" s="4" t="s">
        <v>28</v>
      </c>
      <c r="Q331" s="4" t="s">
        <v>28</v>
      </c>
      <c r="R331" s="8">
        <v>46254.792724687497</v>
      </c>
      <c r="S331" s="4" t="s">
        <v>29</v>
      </c>
      <c r="T331" s="4" t="s">
        <v>30</v>
      </c>
    </row>
    <row r="332" spans="1:20" x14ac:dyDescent="0.3">
      <c r="A332" s="4" t="s">
        <v>21</v>
      </c>
      <c r="B332" s="4" t="s">
        <v>73</v>
      </c>
      <c r="C332" s="4" t="s">
        <v>23</v>
      </c>
      <c r="D332" s="5">
        <v>0.05</v>
      </c>
      <c r="E332" s="4" t="s">
        <v>24</v>
      </c>
      <c r="F332" s="4" t="s">
        <v>25</v>
      </c>
      <c r="G332" s="4" t="s">
        <v>26</v>
      </c>
      <c r="H332" s="4" t="s">
        <v>31</v>
      </c>
      <c r="I332" s="6">
        <v>678781.05707099999</v>
      </c>
      <c r="J332" s="7">
        <v>0.01</v>
      </c>
      <c r="K332" s="7">
        <v>9.9999997764825821E-3</v>
      </c>
      <c r="L332" s="4" t="s">
        <v>28</v>
      </c>
      <c r="M332" s="4" t="s">
        <v>28</v>
      </c>
      <c r="N332" s="4" t="s">
        <v>28</v>
      </c>
      <c r="O332" s="4" t="s">
        <v>28</v>
      </c>
      <c r="P332" s="4" t="s">
        <v>28</v>
      </c>
      <c r="Q332" s="4" t="s">
        <v>28</v>
      </c>
      <c r="R332" s="8">
        <v>46254.792724687497</v>
      </c>
      <c r="S332" s="4" t="s">
        <v>29</v>
      </c>
      <c r="T332" s="4" t="s">
        <v>30</v>
      </c>
    </row>
    <row r="333" spans="1:20" x14ac:dyDescent="0.3">
      <c r="A333" s="4" t="s">
        <v>21</v>
      </c>
      <c r="B333" s="4" t="s">
        <v>73</v>
      </c>
      <c r="C333" s="4" t="s">
        <v>23</v>
      </c>
      <c r="D333" s="5">
        <v>0.1</v>
      </c>
      <c r="E333" s="4" t="s">
        <v>24</v>
      </c>
      <c r="F333" s="4" t="s">
        <v>25</v>
      </c>
      <c r="G333" s="4" t="s">
        <v>26</v>
      </c>
      <c r="H333" s="4" t="s">
        <v>27</v>
      </c>
      <c r="I333" s="6">
        <v>21.066541999999998</v>
      </c>
      <c r="J333" s="7">
        <v>0.01</v>
      </c>
      <c r="K333" s="7">
        <v>9.9999997764825821E-3</v>
      </c>
      <c r="L333" s="4" t="s">
        <v>28</v>
      </c>
      <c r="M333" s="4" t="s">
        <v>28</v>
      </c>
      <c r="N333" s="4" t="s">
        <v>28</v>
      </c>
      <c r="O333" s="4" t="s">
        <v>28</v>
      </c>
      <c r="P333" s="4" t="s">
        <v>28</v>
      </c>
      <c r="Q333" s="4" t="s">
        <v>28</v>
      </c>
      <c r="R333" s="8">
        <v>46254.792729641202</v>
      </c>
      <c r="S333" s="4" t="s">
        <v>29</v>
      </c>
      <c r="T333" s="4" t="s">
        <v>30</v>
      </c>
    </row>
    <row r="334" spans="1:20" x14ac:dyDescent="0.3">
      <c r="A334" s="4" t="s">
        <v>21</v>
      </c>
      <c r="B334" s="4" t="s">
        <v>73</v>
      </c>
      <c r="C334" s="4" t="s">
        <v>23</v>
      </c>
      <c r="D334" s="5">
        <v>0.1</v>
      </c>
      <c r="E334" s="4" t="s">
        <v>24</v>
      </c>
      <c r="F334" s="4" t="s">
        <v>25</v>
      </c>
      <c r="G334" s="4" t="s">
        <v>26</v>
      </c>
      <c r="H334" s="4" t="s">
        <v>31</v>
      </c>
      <c r="I334" s="6">
        <v>678779.38517000002</v>
      </c>
      <c r="J334" s="7">
        <v>0.01</v>
      </c>
      <c r="K334" s="7">
        <v>9.9999997764825821E-3</v>
      </c>
      <c r="L334" s="4" t="s">
        <v>28</v>
      </c>
      <c r="M334" s="4" t="s">
        <v>28</v>
      </c>
      <c r="N334" s="4" t="s">
        <v>28</v>
      </c>
      <c r="O334" s="4" t="s">
        <v>28</v>
      </c>
      <c r="P334" s="4" t="s">
        <v>28</v>
      </c>
      <c r="Q334" s="4" t="s">
        <v>28</v>
      </c>
      <c r="R334" s="8">
        <v>46254.792729641202</v>
      </c>
      <c r="S334" s="4" t="s">
        <v>29</v>
      </c>
      <c r="T334" s="4" t="s">
        <v>30</v>
      </c>
    </row>
    <row r="335" spans="1:20" x14ac:dyDescent="0.3">
      <c r="A335" s="4" t="s">
        <v>21</v>
      </c>
      <c r="B335" s="4" t="s">
        <v>73</v>
      </c>
      <c r="C335" s="4" t="s">
        <v>32</v>
      </c>
      <c r="D335" s="5">
        <v>0.05</v>
      </c>
      <c r="E335" s="4" t="s">
        <v>24</v>
      </c>
      <c r="F335" s="4" t="s">
        <v>25</v>
      </c>
      <c r="G335" s="4" t="s">
        <v>26</v>
      </c>
      <c r="H335" s="4" t="s">
        <v>27</v>
      </c>
      <c r="I335" s="6">
        <v>21.167072000000001</v>
      </c>
      <c r="J335" s="7">
        <v>0.01</v>
      </c>
      <c r="K335" s="7">
        <v>9.9999997764825821E-3</v>
      </c>
      <c r="L335" s="4" t="s">
        <v>28</v>
      </c>
      <c r="M335" s="4" t="s">
        <v>28</v>
      </c>
      <c r="N335" s="4" t="s">
        <v>28</v>
      </c>
      <c r="O335" s="4" t="s">
        <v>28</v>
      </c>
      <c r="P335" s="4" t="s">
        <v>28</v>
      </c>
      <c r="Q335" s="4" t="s">
        <v>28</v>
      </c>
      <c r="R335" s="8">
        <v>46254.792735023148</v>
      </c>
      <c r="S335" s="4" t="s">
        <v>29</v>
      </c>
      <c r="T335" s="4" t="s">
        <v>30</v>
      </c>
    </row>
    <row r="336" spans="1:20" x14ac:dyDescent="0.3">
      <c r="A336" s="4" t="s">
        <v>21</v>
      </c>
      <c r="B336" s="4" t="s">
        <v>73</v>
      </c>
      <c r="C336" s="4" t="s">
        <v>32</v>
      </c>
      <c r="D336" s="5">
        <v>0.05</v>
      </c>
      <c r="E336" s="4" t="s">
        <v>24</v>
      </c>
      <c r="F336" s="4" t="s">
        <v>25</v>
      </c>
      <c r="G336" s="4" t="s">
        <v>26</v>
      </c>
      <c r="H336" s="4" t="s">
        <v>31</v>
      </c>
      <c r="I336" s="6">
        <v>784975.75944099994</v>
      </c>
      <c r="J336" s="7">
        <v>0.01</v>
      </c>
      <c r="K336" s="7">
        <v>9.9999997764825821E-3</v>
      </c>
      <c r="L336" s="4" t="s">
        <v>28</v>
      </c>
      <c r="M336" s="4" t="s">
        <v>28</v>
      </c>
      <c r="N336" s="4" t="s">
        <v>28</v>
      </c>
      <c r="O336" s="4" t="s">
        <v>28</v>
      </c>
      <c r="P336" s="4" t="s">
        <v>28</v>
      </c>
      <c r="Q336" s="4" t="s">
        <v>28</v>
      </c>
      <c r="R336" s="8">
        <v>46254.792735023148</v>
      </c>
      <c r="S336" s="4" t="s">
        <v>29</v>
      </c>
      <c r="T336" s="4" t="s">
        <v>30</v>
      </c>
    </row>
    <row r="337" spans="1:20" x14ac:dyDescent="0.3">
      <c r="A337" s="4" t="s">
        <v>21</v>
      </c>
      <c r="B337" s="4" t="s">
        <v>73</v>
      </c>
      <c r="C337" s="4" t="s">
        <v>32</v>
      </c>
      <c r="D337" s="5">
        <v>0.1</v>
      </c>
      <c r="E337" s="4" t="s">
        <v>24</v>
      </c>
      <c r="F337" s="4" t="s">
        <v>25</v>
      </c>
      <c r="G337" s="4" t="s">
        <v>26</v>
      </c>
      <c r="H337" s="4" t="s">
        <v>27</v>
      </c>
      <c r="I337" s="6">
        <v>19.623823999999999</v>
      </c>
      <c r="J337" s="7">
        <v>0.01</v>
      </c>
      <c r="K337" s="7">
        <v>9.9999997764825821E-3</v>
      </c>
      <c r="L337" s="4" t="s">
        <v>28</v>
      </c>
      <c r="M337" s="4" t="s">
        <v>28</v>
      </c>
      <c r="N337" s="4" t="s">
        <v>28</v>
      </c>
      <c r="O337" s="4" t="s">
        <v>28</v>
      </c>
      <c r="P337" s="4" t="s">
        <v>28</v>
      </c>
      <c r="Q337" s="4" t="s">
        <v>28</v>
      </c>
      <c r="R337" s="8">
        <v>46254.792738032411</v>
      </c>
      <c r="S337" s="4" t="s">
        <v>29</v>
      </c>
      <c r="T337" s="4" t="s">
        <v>30</v>
      </c>
    </row>
    <row r="338" spans="1:20" x14ac:dyDescent="0.3">
      <c r="A338" s="4" t="s">
        <v>21</v>
      </c>
      <c r="B338" s="4" t="s">
        <v>73</v>
      </c>
      <c r="C338" s="4" t="s">
        <v>32</v>
      </c>
      <c r="D338" s="5">
        <v>0.1</v>
      </c>
      <c r="E338" s="4" t="s">
        <v>24</v>
      </c>
      <c r="F338" s="4" t="s">
        <v>25</v>
      </c>
      <c r="G338" s="4" t="s">
        <v>26</v>
      </c>
      <c r="H338" s="4" t="s">
        <v>31</v>
      </c>
      <c r="I338" s="6">
        <v>784974.21619299997</v>
      </c>
      <c r="J338" s="7">
        <v>0.01</v>
      </c>
      <c r="K338" s="7">
        <v>9.9999997764825821E-3</v>
      </c>
      <c r="L338" s="4" t="s">
        <v>28</v>
      </c>
      <c r="M338" s="4" t="s">
        <v>28</v>
      </c>
      <c r="N338" s="4" t="s">
        <v>28</v>
      </c>
      <c r="O338" s="4" t="s">
        <v>28</v>
      </c>
      <c r="P338" s="4" t="s">
        <v>28</v>
      </c>
      <c r="Q338" s="4" t="s">
        <v>28</v>
      </c>
      <c r="R338" s="8">
        <v>46254.792738032411</v>
      </c>
      <c r="S338" s="4" t="s">
        <v>29</v>
      </c>
      <c r="T338" s="4" t="s">
        <v>30</v>
      </c>
    </row>
    <row r="339" spans="1:20" x14ac:dyDescent="0.3">
      <c r="A339" s="4" t="s">
        <v>21</v>
      </c>
      <c r="B339" s="4" t="s">
        <v>74</v>
      </c>
      <c r="C339" s="4" t="s">
        <v>23</v>
      </c>
      <c r="D339" s="5">
        <v>0.05</v>
      </c>
      <c r="E339" s="4" t="s">
        <v>24</v>
      </c>
      <c r="F339" s="4" t="s">
        <v>25</v>
      </c>
      <c r="G339" s="4" t="s">
        <v>26</v>
      </c>
      <c r="H339" s="4" t="s">
        <v>27</v>
      </c>
      <c r="I339" s="6">
        <v>8.7704869999999993</v>
      </c>
      <c r="J339" s="7">
        <v>0.01</v>
      </c>
      <c r="K339" s="7">
        <v>9.9999997764825821E-3</v>
      </c>
      <c r="L339" s="4" t="s">
        <v>28</v>
      </c>
      <c r="M339" s="4" t="s">
        <v>28</v>
      </c>
      <c r="N339" s="4" t="s">
        <v>28</v>
      </c>
      <c r="O339" s="4" t="s">
        <v>28</v>
      </c>
      <c r="P339" s="4" t="s">
        <v>28</v>
      </c>
      <c r="Q339" s="4" t="s">
        <v>28</v>
      </c>
      <c r="R339" s="8">
        <v>46254.793038912037</v>
      </c>
      <c r="S339" s="4" t="s">
        <v>29</v>
      </c>
      <c r="T339" s="4" t="s">
        <v>30</v>
      </c>
    </row>
    <row r="340" spans="1:20" x14ac:dyDescent="0.3">
      <c r="A340" s="4" t="s">
        <v>21</v>
      </c>
      <c r="B340" s="4" t="s">
        <v>74</v>
      </c>
      <c r="C340" s="4" t="s">
        <v>23</v>
      </c>
      <c r="D340" s="5">
        <v>0.05</v>
      </c>
      <c r="E340" s="4" t="s">
        <v>24</v>
      </c>
      <c r="F340" s="4" t="s">
        <v>25</v>
      </c>
      <c r="G340" s="4" t="s">
        <v>26</v>
      </c>
      <c r="H340" s="4" t="s">
        <v>31</v>
      </c>
      <c r="I340" s="6">
        <v>678771.05795799999</v>
      </c>
      <c r="J340" s="7">
        <v>0.01</v>
      </c>
      <c r="K340" s="7">
        <v>9.9999997764825821E-3</v>
      </c>
      <c r="L340" s="4" t="s">
        <v>28</v>
      </c>
      <c r="M340" s="4" t="s">
        <v>28</v>
      </c>
      <c r="N340" s="4" t="s">
        <v>28</v>
      </c>
      <c r="O340" s="4" t="s">
        <v>28</v>
      </c>
      <c r="P340" s="4" t="s">
        <v>28</v>
      </c>
      <c r="Q340" s="4" t="s">
        <v>28</v>
      </c>
      <c r="R340" s="8">
        <v>46254.793038912037</v>
      </c>
      <c r="S340" s="4" t="s">
        <v>29</v>
      </c>
      <c r="T340" s="4" t="s">
        <v>30</v>
      </c>
    </row>
    <row r="341" spans="1:20" x14ac:dyDescent="0.3">
      <c r="A341" s="4" t="s">
        <v>21</v>
      </c>
      <c r="B341" s="4" t="s">
        <v>74</v>
      </c>
      <c r="C341" s="4" t="s">
        <v>23</v>
      </c>
      <c r="D341" s="5">
        <v>0.1</v>
      </c>
      <c r="E341" s="4" t="s">
        <v>24</v>
      </c>
      <c r="F341" s="4" t="s">
        <v>25</v>
      </c>
      <c r="G341" s="4" t="s">
        <v>26</v>
      </c>
      <c r="H341" s="4" t="s">
        <v>27</v>
      </c>
      <c r="I341" s="6">
        <v>8.1291790000000006</v>
      </c>
      <c r="J341" s="7">
        <v>0.01</v>
      </c>
      <c r="K341" s="7">
        <v>9.9999997764825821E-3</v>
      </c>
      <c r="L341" s="4" t="s">
        <v>28</v>
      </c>
      <c r="M341" s="4" t="s">
        <v>28</v>
      </c>
      <c r="N341" s="4" t="s">
        <v>28</v>
      </c>
      <c r="O341" s="4" t="s">
        <v>28</v>
      </c>
      <c r="P341" s="4" t="s">
        <v>28</v>
      </c>
      <c r="Q341" s="4" t="s">
        <v>28</v>
      </c>
      <c r="R341" s="8">
        <v>46254.793039444441</v>
      </c>
      <c r="S341" s="4" t="s">
        <v>29</v>
      </c>
      <c r="T341" s="4" t="s">
        <v>30</v>
      </c>
    </row>
    <row r="342" spans="1:20" x14ac:dyDescent="0.3">
      <c r="A342" s="4" t="s">
        <v>21</v>
      </c>
      <c r="B342" s="4" t="s">
        <v>74</v>
      </c>
      <c r="C342" s="4" t="s">
        <v>23</v>
      </c>
      <c r="D342" s="5">
        <v>0.1</v>
      </c>
      <c r="E342" s="4" t="s">
        <v>24</v>
      </c>
      <c r="F342" s="4" t="s">
        <v>25</v>
      </c>
      <c r="G342" s="4" t="s">
        <v>26</v>
      </c>
      <c r="H342" s="4" t="s">
        <v>31</v>
      </c>
      <c r="I342" s="6">
        <v>678770.41664900002</v>
      </c>
      <c r="J342" s="7">
        <v>0.01</v>
      </c>
      <c r="K342" s="7">
        <v>9.9999997764825821E-3</v>
      </c>
      <c r="L342" s="4" t="s">
        <v>28</v>
      </c>
      <c r="M342" s="4" t="s">
        <v>28</v>
      </c>
      <c r="N342" s="4" t="s">
        <v>28</v>
      </c>
      <c r="O342" s="4" t="s">
        <v>28</v>
      </c>
      <c r="P342" s="4" t="s">
        <v>28</v>
      </c>
      <c r="Q342" s="4" t="s">
        <v>28</v>
      </c>
      <c r="R342" s="8">
        <v>46254.793039444441</v>
      </c>
      <c r="S342" s="4" t="s">
        <v>29</v>
      </c>
      <c r="T342" s="4" t="s">
        <v>30</v>
      </c>
    </row>
    <row r="343" spans="1:20" x14ac:dyDescent="0.3">
      <c r="A343" s="4" t="s">
        <v>21</v>
      </c>
      <c r="B343" s="4" t="s">
        <v>74</v>
      </c>
      <c r="C343" s="4" t="s">
        <v>32</v>
      </c>
      <c r="D343" s="5">
        <v>0.05</v>
      </c>
      <c r="E343" s="4" t="s">
        <v>24</v>
      </c>
      <c r="F343" s="4" t="s">
        <v>25</v>
      </c>
      <c r="G343" s="4" t="s">
        <v>26</v>
      </c>
      <c r="H343" s="4" t="s">
        <v>27</v>
      </c>
      <c r="I343" s="6">
        <v>8.4095099999999992</v>
      </c>
      <c r="J343" s="7">
        <v>0.01</v>
      </c>
      <c r="K343" s="7">
        <v>9.9999997764825821E-3</v>
      </c>
      <c r="L343" s="4" t="s">
        <v>28</v>
      </c>
      <c r="M343" s="4" t="s">
        <v>28</v>
      </c>
      <c r="N343" s="4" t="s">
        <v>28</v>
      </c>
      <c r="O343" s="4" t="s">
        <v>28</v>
      </c>
      <c r="P343" s="4" t="s">
        <v>28</v>
      </c>
      <c r="Q343" s="4" t="s">
        <v>28</v>
      </c>
      <c r="R343" s="8">
        <v>46254.793039942131</v>
      </c>
      <c r="S343" s="4" t="s">
        <v>29</v>
      </c>
      <c r="T343" s="4" t="s">
        <v>30</v>
      </c>
    </row>
    <row r="344" spans="1:20" x14ac:dyDescent="0.3">
      <c r="A344" s="4" t="s">
        <v>21</v>
      </c>
      <c r="B344" s="4" t="s">
        <v>74</v>
      </c>
      <c r="C344" s="4" t="s">
        <v>32</v>
      </c>
      <c r="D344" s="5">
        <v>0.05</v>
      </c>
      <c r="E344" s="4" t="s">
        <v>24</v>
      </c>
      <c r="F344" s="4" t="s">
        <v>25</v>
      </c>
      <c r="G344" s="4" t="s">
        <v>26</v>
      </c>
      <c r="H344" s="4" t="s">
        <v>31</v>
      </c>
      <c r="I344" s="6">
        <v>784966.61207499995</v>
      </c>
      <c r="J344" s="7">
        <v>0.01</v>
      </c>
      <c r="K344" s="7">
        <v>9.9999997764825821E-3</v>
      </c>
      <c r="L344" s="4" t="s">
        <v>28</v>
      </c>
      <c r="M344" s="4" t="s">
        <v>28</v>
      </c>
      <c r="N344" s="4" t="s">
        <v>28</v>
      </c>
      <c r="O344" s="4" t="s">
        <v>28</v>
      </c>
      <c r="P344" s="4" t="s">
        <v>28</v>
      </c>
      <c r="Q344" s="4" t="s">
        <v>28</v>
      </c>
      <c r="R344" s="8">
        <v>46254.793039942131</v>
      </c>
      <c r="S344" s="4" t="s">
        <v>29</v>
      </c>
      <c r="T344" s="4" t="s">
        <v>30</v>
      </c>
    </row>
    <row r="345" spans="1:20" x14ac:dyDescent="0.3">
      <c r="A345" s="4" t="s">
        <v>21</v>
      </c>
      <c r="B345" s="4" t="s">
        <v>74</v>
      </c>
      <c r="C345" s="4" t="s">
        <v>32</v>
      </c>
      <c r="D345" s="5">
        <v>0.1</v>
      </c>
      <c r="E345" s="4" t="s">
        <v>24</v>
      </c>
      <c r="F345" s="4" t="s">
        <v>25</v>
      </c>
      <c r="G345" s="4" t="s">
        <v>26</v>
      </c>
      <c r="H345" s="4" t="s">
        <v>27</v>
      </c>
      <c r="I345" s="6">
        <v>7.7967919999999999</v>
      </c>
      <c r="J345" s="7">
        <v>0.01</v>
      </c>
      <c r="K345" s="7">
        <v>9.9999997764825821E-3</v>
      </c>
      <c r="L345" s="4" t="s">
        <v>28</v>
      </c>
      <c r="M345" s="4" t="s">
        <v>28</v>
      </c>
      <c r="N345" s="4" t="s">
        <v>28</v>
      </c>
      <c r="O345" s="4" t="s">
        <v>28</v>
      </c>
      <c r="P345" s="4" t="s">
        <v>28</v>
      </c>
      <c r="Q345" s="4" t="s">
        <v>28</v>
      </c>
      <c r="R345" s="8">
        <v>46254.793040462973</v>
      </c>
      <c r="S345" s="4" t="s">
        <v>29</v>
      </c>
      <c r="T345" s="4" t="s">
        <v>30</v>
      </c>
    </row>
    <row r="346" spans="1:20" x14ac:dyDescent="0.3">
      <c r="A346" s="4" t="s">
        <v>21</v>
      </c>
      <c r="B346" s="4" t="s">
        <v>74</v>
      </c>
      <c r="C346" s="4" t="s">
        <v>32</v>
      </c>
      <c r="D346" s="5">
        <v>0.1</v>
      </c>
      <c r="E346" s="4" t="s">
        <v>24</v>
      </c>
      <c r="F346" s="4" t="s">
        <v>25</v>
      </c>
      <c r="G346" s="4" t="s">
        <v>26</v>
      </c>
      <c r="H346" s="4" t="s">
        <v>31</v>
      </c>
      <c r="I346" s="6">
        <v>784965.99935699999</v>
      </c>
      <c r="J346" s="7">
        <v>0.01</v>
      </c>
      <c r="K346" s="7">
        <v>9.9999997764825821E-3</v>
      </c>
      <c r="L346" s="4" t="s">
        <v>28</v>
      </c>
      <c r="M346" s="4" t="s">
        <v>28</v>
      </c>
      <c r="N346" s="4" t="s">
        <v>28</v>
      </c>
      <c r="O346" s="4" t="s">
        <v>28</v>
      </c>
      <c r="P346" s="4" t="s">
        <v>28</v>
      </c>
      <c r="Q346" s="4" t="s">
        <v>28</v>
      </c>
      <c r="R346" s="8">
        <v>46254.793040462973</v>
      </c>
      <c r="S346" s="4" t="s">
        <v>29</v>
      </c>
      <c r="T346" s="4" t="s">
        <v>30</v>
      </c>
    </row>
    <row r="347" spans="1:20" x14ac:dyDescent="0.3">
      <c r="A347" s="4" t="s">
        <v>21</v>
      </c>
      <c r="B347" s="4" t="s">
        <v>75</v>
      </c>
      <c r="C347" s="4" t="s">
        <v>23</v>
      </c>
      <c r="D347" s="5">
        <v>0.05</v>
      </c>
      <c r="E347" s="4" t="s">
        <v>24</v>
      </c>
      <c r="F347" s="4" t="s">
        <v>25</v>
      </c>
      <c r="G347" s="4" t="s">
        <v>26</v>
      </c>
      <c r="H347" s="4" t="s">
        <v>27</v>
      </c>
      <c r="I347" s="6">
        <v>2.2219310000000001</v>
      </c>
      <c r="J347" s="7">
        <v>0.01</v>
      </c>
      <c r="K347" s="7">
        <v>9.9999997764825821E-3</v>
      </c>
      <c r="L347" s="4" t="s">
        <v>28</v>
      </c>
      <c r="M347" s="4" t="s">
        <v>28</v>
      </c>
      <c r="N347" s="4" t="s">
        <v>28</v>
      </c>
      <c r="O347" s="4" t="s">
        <v>28</v>
      </c>
      <c r="P347" s="4" t="s">
        <v>28</v>
      </c>
      <c r="Q347" s="4" t="s">
        <v>28</v>
      </c>
      <c r="R347" s="8">
        <v>46254.793228946757</v>
      </c>
      <c r="S347" s="4" t="s">
        <v>29</v>
      </c>
      <c r="T347" s="4" t="s">
        <v>30</v>
      </c>
    </row>
    <row r="348" spans="1:20" x14ac:dyDescent="0.3">
      <c r="A348" s="4" t="s">
        <v>21</v>
      </c>
      <c r="B348" s="4" t="s">
        <v>75</v>
      </c>
      <c r="C348" s="4" t="s">
        <v>23</v>
      </c>
      <c r="D348" s="5">
        <v>0.05</v>
      </c>
      <c r="E348" s="4" t="s">
        <v>24</v>
      </c>
      <c r="F348" s="4" t="s">
        <v>25</v>
      </c>
      <c r="G348" s="4" t="s">
        <v>26</v>
      </c>
      <c r="H348" s="4" t="s">
        <v>31</v>
      </c>
      <c r="I348" s="6">
        <v>678766.93169899995</v>
      </c>
      <c r="J348" s="7">
        <v>0.01</v>
      </c>
      <c r="K348" s="7">
        <v>9.9999997764825821E-3</v>
      </c>
      <c r="L348" s="4" t="s">
        <v>28</v>
      </c>
      <c r="M348" s="4" t="s">
        <v>28</v>
      </c>
      <c r="N348" s="4" t="s">
        <v>28</v>
      </c>
      <c r="O348" s="4" t="s">
        <v>28</v>
      </c>
      <c r="P348" s="4" t="s">
        <v>28</v>
      </c>
      <c r="Q348" s="4" t="s">
        <v>28</v>
      </c>
      <c r="R348" s="8">
        <v>46254.793228946757</v>
      </c>
      <c r="S348" s="4" t="s">
        <v>29</v>
      </c>
      <c r="T348" s="4" t="s">
        <v>30</v>
      </c>
    </row>
    <row r="349" spans="1:20" x14ac:dyDescent="0.3">
      <c r="A349" s="4" t="s">
        <v>21</v>
      </c>
      <c r="B349" s="4" t="s">
        <v>75</v>
      </c>
      <c r="C349" s="4" t="s">
        <v>23</v>
      </c>
      <c r="D349" s="5">
        <v>0.1</v>
      </c>
      <c r="E349" s="4" t="s">
        <v>24</v>
      </c>
      <c r="F349" s="4" t="s">
        <v>25</v>
      </c>
      <c r="G349" s="4" t="s">
        <v>26</v>
      </c>
      <c r="H349" s="4" t="s">
        <v>27</v>
      </c>
      <c r="I349" s="6">
        <v>2.0647660000000001</v>
      </c>
      <c r="J349" s="7">
        <v>0.01</v>
      </c>
      <c r="K349" s="7">
        <v>9.9999997764825821E-3</v>
      </c>
      <c r="L349" s="4" t="s">
        <v>28</v>
      </c>
      <c r="M349" s="4" t="s">
        <v>28</v>
      </c>
      <c r="N349" s="4" t="s">
        <v>28</v>
      </c>
      <c r="O349" s="4" t="s">
        <v>28</v>
      </c>
      <c r="P349" s="4" t="s">
        <v>28</v>
      </c>
      <c r="Q349" s="4" t="s">
        <v>28</v>
      </c>
      <c r="R349" s="8">
        <v>46254.793229525458</v>
      </c>
      <c r="S349" s="4" t="s">
        <v>29</v>
      </c>
      <c r="T349" s="4" t="s">
        <v>30</v>
      </c>
    </row>
    <row r="350" spans="1:20" x14ac:dyDescent="0.3">
      <c r="A350" s="4" t="s">
        <v>21</v>
      </c>
      <c r="B350" s="4" t="s">
        <v>75</v>
      </c>
      <c r="C350" s="4" t="s">
        <v>23</v>
      </c>
      <c r="D350" s="5">
        <v>0.1</v>
      </c>
      <c r="E350" s="4" t="s">
        <v>24</v>
      </c>
      <c r="F350" s="4" t="s">
        <v>25</v>
      </c>
      <c r="G350" s="4" t="s">
        <v>26</v>
      </c>
      <c r="H350" s="4" t="s">
        <v>31</v>
      </c>
      <c r="I350" s="6">
        <v>678766.77453499998</v>
      </c>
      <c r="J350" s="7">
        <v>0.01</v>
      </c>
      <c r="K350" s="7">
        <v>9.9999997764825821E-3</v>
      </c>
      <c r="L350" s="4" t="s">
        <v>28</v>
      </c>
      <c r="M350" s="4" t="s">
        <v>28</v>
      </c>
      <c r="N350" s="4" t="s">
        <v>28</v>
      </c>
      <c r="O350" s="4" t="s">
        <v>28</v>
      </c>
      <c r="P350" s="4" t="s">
        <v>28</v>
      </c>
      <c r="Q350" s="4" t="s">
        <v>28</v>
      </c>
      <c r="R350" s="8">
        <v>46254.793229525458</v>
      </c>
      <c r="S350" s="4" t="s">
        <v>29</v>
      </c>
      <c r="T350" s="4" t="s">
        <v>30</v>
      </c>
    </row>
    <row r="351" spans="1:20" x14ac:dyDescent="0.3">
      <c r="A351" s="4" t="s">
        <v>21</v>
      </c>
      <c r="B351" s="4" t="s">
        <v>75</v>
      </c>
      <c r="C351" s="4" t="s">
        <v>32</v>
      </c>
      <c r="D351" s="5">
        <v>0.05</v>
      </c>
      <c r="E351" s="4" t="s">
        <v>24</v>
      </c>
      <c r="F351" s="4" t="s">
        <v>25</v>
      </c>
      <c r="G351" s="4" t="s">
        <v>26</v>
      </c>
      <c r="H351" s="4" t="s">
        <v>27</v>
      </c>
      <c r="I351" s="6">
        <v>2.1789809999999998</v>
      </c>
      <c r="J351" s="7">
        <v>0.01</v>
      </c>
      <c r="K351" s="7">
        <v>9.9999997764825821E-3</v>
      </c>
      <c r="L351" s="4" t="s">
        <v>28</v>
      </c>
      <c r="M351" s="4" t="s">
        <v>28</v>
      </c>
      <c r="N351" s="4" t="s">
        <v>28</v>
      </c>
      <c r="O351" s="4" t="s">
        <v>28</v>
      </c>
      <c r="P351" s="4" t="s">
        <v>28</v>
      </c>
      <c r="Q351" s="4" t="s">
        <v>28</v>
      </c>
      <c r="R351" s="8">
        <v>46254.793229965268</v>
      </c>
      <c r="S351" s="4" t="s">
        <v>29</v>
      </c>
      <c r="T351" s="4" t="s">
        <v>30</v>
      </c>
    </row>
    <row r="352" spans="1:20" x14ac:dyDescent="0.3">
      <c r="A352" s="4" t="s">
        <v>21</v>
      </c>
      <c r="B352" s="4" t="s">
        <v>75</v>
      </c>
      <c r="C352" s="4" t="s">
        <v>32</v>
      </c>
      <c r="D352" s="5">
        <v>0.05</v>
      </c>
      <c r="E352" s="4" t="s">
        <v>24</v>
      </c>
      <c r="F352" s="4" t="s">
        <v>25</v>
      </c>
      <c r="G352" s="4" t="s">
        <v>26</v>
      </c>
      <c r="H352" s="4" t="s">
        <v>31</v>
      </c>
      <c r="I352" s="6">
        <v>784962.68537099997</v>
      </c>
      <c r="J352" s="7">
        <v>0.01</v>
      </c>
      <c r="K352" s="7">
        <v>9.9999997764825821E-3</v>
      </c>
      <c r="L352" s="4" t="s">
        <v>28</v>
      </c>
      <c r="M352" s="4" t="s">
        <v>28</v>
      </c>
      <c r="N352" s="4" t="s">
        <v>28</v>
      </c>
      <c r="O352" s="4" t="s">
        <v>28</v>
      </c>
      <c r="P352" s="4" t="s">
        <v>28</v>
      </c>
      <c r="Q352" s="4" t="s">
        <v>28</v>
      </c>
      <c r="R352" s="8">
        <v>46254.793229965268</v>
      </c>
      <c r="S352" s="4" t="s">
        <v>29</v>
      </c>
      <c r="T352" s="4" t="s">
        <v>30</v>
      </c>
    </row>
    <row r="353" spans="1:20" x14ac:dyDescent="0.3">
      <c r="A353" s="4" t="s">
        <v>21</v>
      </c>
      <c r="B353" s="4" t="s">
        <v>75</v>
      </c>
      <c r="C353" s="4" t="s">
        <v>32</v>
      </c>
      <c r="D353" s="5">
        <v>0.1</v>
      </c>
      <c r="E353" s="4" t="s">
        <v>24</v>
      </c>
      <c r="F353" s="4" t="s">
        <v>25</v>
      </c>
      <c r="G353" s="4" t="s">
        <v>26</v>
      </c>
      <c r="H353" s="4" t="s">
        <v>27</v>
      </c>
      <c r="I353" s="6">
        <v>2.0248900000000001</v>
      </c>
      <c r="J353" s="7">
        <v>0.01</v>
      </c>
      <c r="K353" s="7">
        <v>9.9999997764825821E-3</v>
      </c>
      <c r="L353" s="4" t="s">
        <v>28</v>
      </c>
      <c r="M353" s="4" t="s">
        <v>28</v>
      </c>
      <c r="N353" s="4" t="s">
        <v>28</v>
      </c>
      <c r="O353" s="4" t="s">
        <v>28</v>
      </c>
      <c r="P353" s="4" t="s">
        <v>28</v>
      </c>
      <c r="Q353" s="4" t="s">
        <v>28</v>
      </c>
      <c r="R353" s="8">
        <v>46254.793230393523</v>
      </c>
      <c r="S353" s="4" t="s">
        <v>29</v>
      </c>
      <c r="T353" s="4" t="s">
        <v>30</v>
      </c>
    </row>
    <row r="354" spans="1:20" x14ac:dyDescent="0.3">
      <c r="A354" s="4" t="s">
        <v>21</v>
      </c>
      <c r="B354" s="4" t="s">
        <v>75</v>
      </c>
      <c r="C354" s="4" t="s">
        <v>32</v>
      </c>
      <c r="D354" s="5">
        <v>0.1</v>
      </c>
      <c r="E354" s="4" t="s">
        <v>24</v>
      </c>
      <c r="F354" s="4" t="s">
        <v>25</v>
      </c>
      <c r="G354" s="4" t="s">
        <v>26</v>
      </c>
      <c r="H354" s="4" t="s">
        <v>31</v>
      </c>
      <c r="I354" s="6">
        <v>784962.531281</v>
      </c>
      <c r="J354" s="7">
        <v>0.01</v>
      </c>
      <c r="K354" s="7">
        <v>9.9999997764825821E-3</v>
      </c>
      <c r="L354" s="4" t="s">
        <v>28</v>
      </c>
      <c r="M354" s="4" t="s">
        <v>28</v>
      </c>
      <c r="N354" s="4" t="s">
        <v>28</v>
      </c>
      <c r="O354" s="4" t="s">
        <v>28</v>
      </c>
      <c r="P354" s="4" t="s">
        <v>28</v>
      </c>
      <c r="Q354" s="4" t="s">
        <v>28</v>
      </c>
      <c r="R354" s="8">
        <v>46254.793230393523</v>
      </c>
      <c r="S354" s="4" t="s">
        <v>29</v>
      </c>
      <c r="T354" s="4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0" customWidth="1"/>
    <col min="2" max="2" width="13" customWidth="1"/>
    <col min="3" max="3" width="15" customWidth="1"/>
    <col min="4" max="4" width="17" customWidth="1"/>
    <col min="5" max="5" width="24" customWidth="1"/>
    <col min="6" max="6" width="8" customWidth="1"/>
    <col min="7" max="7" width="47" customWidth="1"/>
    <col min="8" max="8" width="14" customWidth="1"/>
    <col min="9" max="9" width="3" customWidth="1"/>
    <col min="10" max="10" width="13" customWidth="1"/>
    <col min="11" max="11" width="15" customWidth="1"/>
    <col min="12" max="12" width="17" customWidth="1"/>
    <col min="13" max="13" width="24" customWidth="1"/>
    <col min="14" max="14" width="8" customWidth="1"/>
    <col min="15" max="15" width="50" customWidth="1"/>
    <col min="16" max="17" width="14" customWidth="1"/>
    <col min="18" max="18" width="3" customWidth="1"/>
    <col min="19" max="20" width="22" customWidth="1"/>
    <col min="21" max="21" width="3" customWidth="1"/>
    <col min="22" max="22" width="11" customWidth="1"/>
    <col min="23" max="24" width="13" customWidth="1"/>
    <col min="25" max="25" width="17" customWidth="1"/>
  </cols>
  <sheetData>
    <row r="2" spans="1:25" x14ac:dyDescent="0.3">
      <c r="G2" s="16" t="s">
        <v>76</v>
      </c>
      <c r="O2" s="16" t="s">
        <v>77</v>
      </c>
      <c r="P2" t="s">
        <v>78</v>
      </c>
      <c r="Q2" t="s">
        <v>79</v>
      </c>
      <c r="V2" t="s">
        <v>80</v>
      </c>
    </row>
    <row r="3" spans="1:25" x14ac:dyDescent="0.3">
      <c r="E3" t="s">
        <v>81</v>
      </c>
      <c r="H3" t="s">
        <v>8</v>
      </c>
      <c r="M3" s="17" t="s">
        <v>81</v>
      </c>
      <c r="N3" s="17"/>
      <c r="O3" s="17"/>
      <c r="P3" s="17" t="s">
        <v>8</v>
      </c>
      <c r="Q3" s="17"/>
      <c r="S3" t="s">
        <v>82</v>
      </c>
      <c r="T3" t="s">
        <v>83</v>
      </c>
    </row>
    <row r="4" spans="1:25" x14ac:dyDescent="0.3">
      <c r="A4" s="18" t="s">
        <v>84</v>
      </c>
      <c r="B4" s="18" t="s">
        <v>85</v>
      </c>
      <c r="C4" s="18" t="s">
        <v>86</v>
      </c>
      <c r="D4" s="18" t="s">
        <v>87</v>
      </c>
      <c r="E4" s="18" t="s">
        <v>3</v>
      </c>
      <c r="F4" s="18" t="s">
        <v>4</v>
      </c>
      <c r="G4" s="18" t="s">
        <v>2</v>
      </c>
      <c r="H4" t="s">
        <v>31</v>
      </c>
      <c r="J4" s="18" t="s">
        <v>85</v>
      </c>
      <c r="K4" s="18" t="s">
        <v>86</v>
      </c>
      <c r="L4" s="18" t="s">
        <v>87</v>
      </c>
      <c r="M4" s="18" t="s">
        <v>3</v>
      </c>
      <c r="N4" s="18" t="s">
        <v>4</v>
      </c>
      <c r="O4" s="18" t="s">
        <v>2</v>
      </c>
      <c r="P4" s="18" t="s">
        <v>31</v>
      </c>
      <c r="Q4" s="18" t="s">
        <v>27</v>
      </c>
      <c r="S4" t="s">
        <v>88</v>
      </c>
      <c r="T4" s="19" t="s">
        <v>89</v>
      </c>
      <c r="V4" t="s">
        <v>85</v>
      </c>
      <c r="W4" t="s">
        <v>90</v>
      </c>
      <c r="X4" t="s">
        <v>87</v>
      </c>
      <c r="Y4" t="s">
        <v>3</v>
      </c>
    </row>
    <row r="5" spans="1:25" x14ac:dyDescent="0.3">
      <c r="A5" t="str">
        <f t="shared" ref="A5:A36" si="0">G5&amp;F5&amp;E5</f>
        <v>Master Model G10 Grizzly XL Relapse_TwoAge_B010.05JAGS_Female_2000</v>
      </c>
      <c r="B5" t="str">
        <f t="shared" ref="B5:B36" si="1">IF(ISNUMBER(SEARCH("G10",G5)),"G10","G25")</f>
        <v>G10</v>
      </c>
      <c r="C5" t="str">
        <f t="shared" ref="C5:C36" si="2">IF(ISNUMBER(SEARCH("AllAge",G5)),"AllAge","TwoAge")</f>
        <v>TwoAge</v>
      </c>
      <c r="D5" t="str">
        <f t="shared" ref="D5:D36" si="3">RIGHT(G5,3)</f>
        <v>B01</v>
      </c>
      <c r="E5" t="s">
        <v>32</v>
      </c>
      <c r="F5">
        <v>0.05</v>
      </c>
      <c r="G5" t="s">
        <v>54</v>
      </c>
      <c r="H5" s="9">
        <v>787091</v>
      </c>
      <c r="J5" t="str">
        <f t="shared" ref="J5:J36" si="4">IF(ISNUMBER(SEARCH("G10",O5)),"G10","G25")</f>
        <v>G10</v>
      </c>
      <c r="K5" t="str">
        <f t="shared" ref="K5:K36" si="5">IF(ISNUMBER(SEARCH("AllAge",O5)),"AllAge","TwoAge")</f>
        <v>TwoAge</v>
      </c>
      <c r="L5" t="str">
        <f t="shared" ref="L5:L36" si="6">RIGHT(O5,3)</f>
        <v>B01</v>
      </c>
      <c r="M5" t="s">
        <v>32</v>
      </c>
      <c r="N5">
        <v>0.05</v>
      </c>
      <c r="O5" t="s">
        <v>22</v>
      </c>
      <c r="P5" s="9">
        <v>787255</v>
      </c>
      <c r="Q5" s="9">
        <v>2294</v>
      </c>
      <c r="S5" s="9">
        <f t="shared" ref="S5:S36" si="7">ROUND(P5-H5,0)</f>
        <v>164</v>
      </c>
      <c r="T5" s="9">
        <f t="shared" ref="T5:T36" si="8">ROUND(Q5-S5,0)</f>
        <v>2130</v>
      </c>
      <c r="V5" t="b">
        <f t="shared" ref="V5:V36" si="9">EXACT(B5,J5)</f>
        <v>1</v>
      </c>
      <c r="W5" t="b">
        <f t="shared" ref="W5:W36" si="10">EXACT(C5,K5)</f>
        <v>1</v>
      </c>
      <c r="X5" t="b">
        <f t="shared" ref="X5:X36" si="11">EXACT(D5,L5)</f>
        <v>1</v>
      </c>
      <c r="Y5" t="b">
        <f t="shared" ref="Y5:Y36" si="12">EXACT(E5,M5)</f>
        <v>1</v>
      </c>
    </row>
    <row r="6" spans="1:25" x14ac:dyDescent="0.3">
      <c r="A6" t="str">
        <f t="shared" si="0"/>
        <v>Master Model G10 Grizzly XL Relapse_TwoAge_B020.05JAGS_Female_2000</v>
      </c>
      <c r="B6" t="str">
        <f t="shared" si="1"/>
        <v>G10</v>
      </c>
      <c r="C6" t="str">
        <f t="shared" si="2"/>
        <v>TwoAge</v>
      </c>
      <c r="D6" t="str">
        <f t="shared" si="3"/>
        <v>B02</v>
      </c>
      <c r="E6" t="s">
        <v>32</v>
      </c>
      <c r="F6">
        <v>0.05</v>
      </c>
      <c r="G6" t="s">
        <v>55</v>
      </c>
      <c r="H6" s="9">
        <v>786804</v>
      </c>
      <c r="J6" t="str">
        <f t="shared" si="4"/>
        <v>G10</v>
      </c>
      <c r="K6" t="str">
        <f t="shared" si="5"/>
        <v>TwoAge</v>
      </c>
      <c r="L6" t="str">
        <f t="shared" si="6"/>
        <v>B02</v>
      </c>
      <c r="M6" t="s">
        <v>32</v>
      </c>
      <c r="N6">
        <v>0.05</v>
      </c>
      <c r="O6" t="s">
        <v>33</v>
      </c>
      <c r="P6" s="9">
        <v>786973</v>
      </c>
      <c r="Q6" s="9">
        <v>2012</v>
      </c>
      <c r="S6" s="9">
        <f t="shared" si="7"/>
        <v>169</v>
      </c>
      <c r="T6" s="9">
        <f t="shared" si="8"/>
        <v>1843</v>
      </c>
      <c r="V6" t="b">
        <f t="shared" si="9"/>
        <v>1</v>
      </c>
      <c r="W6" t="b">
        <f t="shared" si="10"/>
        <v>1</v>
      </c>
      <c r="X6" t="b">
        <f t="shared" si="11"/>
        <v>1</v>
      </c>
      <c r="Y6" t="b">
        <f t="shared" si="12"/>
        <v>1</v>
      </c>
    </row>
    <row r="7" spans="1:25" x14ac:dyDescent="0.3">
      <c r="A7" t="str">
        <f t="shared" si="0"/>
        <v>Master Model G10 Grizzly XL Relapse_TwoAge_B030.05JAGS_Female_2000</v>
      </c>
      <c r="B7" t="str">
        <f t="shared" si="1"/>
        <v>G10</v>
      </c>
      <c r="C7" t="str">
        <f t="shared" si="2"/>
        <v>TwoAge</v>
      </c>
      <c r="D7" t="str">
        <f t="shared" si="3"/>
        <v>B03</v>
      </c>
      <c r="E7" t="s">
        <v>32</v>
      </c>
      <c r="F7">
        <v>0.05</v>
      </c>
      <c r="G7" t="s">
        <v>56</v>
      </c>
      <c r="H7" s="9">
        <v>786062</v>
      </c>
      <c r="J7" t="str">
        <f t="shared" si="4"/>
        <v>G10</v>
      </c>
      <c r="K7" t="str">
        <f t="shared" si="5"/>
        <v>TwoAge</v>
      </c>
      <c r="L7" t="str">
        <f t="shared" si="6"/>
        <v>B03</v>
      </c>
      <c r="M7" t="s">
        <v>32</v>
      </c>
      <c r="N7">
        <v>0.05</v>
      </c>
      <c r="O7" t="s">
        <v>34</v>
      </c>
      <c r="P7" s="9">
        <v>786241</v>
      </c>
      <c r="Q7" s="9">
        <v>1279</v>
      </c>
      <c r="S7" s="9">
        <f t="shared" si="7"/>
        <v>179</v>
      </c>
      <c r="T7" s="9">
        <f t="shared" si="8"/>
        <v>1100</v>
      </c>
      <c r="V7" t="b">
        <f t="shared" si="9"/>
        <v>1</v>
      </c>
      <c r="W7" t="b">
        <f t="shared" si="10"/>
        <v>1</v>
      </c>
      <c r="X7" t="b">
        <f t="shared" si="11"/>
        <v>1</v>
      </c>
      <c r="Y7" t="b">
        <f t="shared" si="12"/>
        <v>1</v>
      </c>
    </row>
    <row r="8" spans="1:25" x14ac:dyDescent="0.3">
      <c r="A8" t="str">
        <f t="shared" si="0"/>
        <v>Master Model G10 Grizzly XL Relapse_TwoAge_B040.05JAGS_Female_2000</v>
      </c>
      <c r="B8" t="str">
        <f t="shared" si="1"/>
        <v>G10</v>
      </c>
      <c r="C8" t="str">
        <f t="shared" si="2"/>
        <v>TwoAge</v>
      </c>
      <c r="D8" t="str">
        <f t="shared" si="3"/>
        <v>B04</v>
      </c>
      <c r="E8" t="s">
        <v>32</v>
      </c>
      <c r="F8">
        <v>0.05</v>
      </c>
      <c r="G8" t="s">
        <v>57</v>
      </c>
      <c r="H8" s="9">
        <v>785657</v>
      </c>
      <c r="J8" t="str">
        <f t="shared" si="4"/>
        <v>G10</v>
      </c>
      <c r="K8" t="str">
        <f t="shared" si="5"/>
        <v>TwoAge</v>
      </c>
      <c r="L8" t="str">
        <f t="shared" si="6"/>
        <v>B04</v>
      </c>
      <c r="M8" t="s">
        <v>32</v>
      </c>
      <c r="N8">
        <v>0.05</v>
      </c>
      <c r="O8" t="s">
        <v>35</v>
      </c>
      <c r="P8" s="9">
        <v>785814</v>
      </c>
      <c r="Q8" s="9">
        <v>853</v>
      </c>
      <c r="S8" s="9">
        <f t="shared" si="7"/>
        <v>157</v>
      </c>
      <c r="T8" s="9">
        <f t="shared" si="8"/>
        <v>696</v>
      </c>
      <c r="V8" t="b">
        <f t="shared" si="9"/>
        <v>1</v>
      </c>
      <c r="W8" t="b">
        <f t="shared" si="10"/>
        <v>1</v>
      </c>
      <c r="X8" t="b">
        <f t="shared" si="11"/>
        <v>1</v>
      </c>
      <c r="Y8" t="b">
        <f t="shared" si="12"/>
        <v>1</v>
      </c>
    </row>
    <row r="9" spans="1:25" x14ac:dyDescent="0.3">
      <c r="A9" t="str">
        <f t="shared" si="0"/>
        <v>Master Model G10 Grizzly XL Relapse_TwoAge_B050.05JAGS_Female_2000</v>
      </c>
      <c r="B9" t="str">
        <f t="shared" si="1"/>
        <v>G10</v>
      </c>
      <c r="C9" t="str">
        <f t="shared" si="2"/>
        <v>TwoAge</v>
      </c>
      <c r="D9" t="str">
        <f t="shared" si="3"/>
        <v>B05</v>
      </c>
      <c r="E9" t="s">
        <v>32</v>
      </c>
      <c r="F9">
        <v>0.05</v>
      </c>
      <c r="G9" t="s">
        <v>58</v>
      </c>
      <c r="H9" s="9">
        <v>785456</v>
      </c>
      <c r="J9" t="str">
        <f t="shared" si="4"/>
        <v>G10</v>
      </c>
      <c r="K9" t="str">
        <f t="shared" si="5"/>
        <v>TwoAge</v>
      </c>
      <c r="L9" t="str">
        <f t="shared" si="6"/>
        <v>B05</v>
      </c>
      <c r="M9" t="s">
        <v>32</v>
      </c>
      <c r="N9">
        <v>0.05</v>
      </c>
      <c r="O9" t="s">
        <v>36</v>
      </c>
      <c r="P9" s="9">
        <v>785557</v>
      </c>
      <c r="Q9" s="9">
        <v>596</v>
      </c>
      <c r="S9" s="9">
        <f t="shared" si="7"/>
        <v>101</v>
      </c>
      <c r="T9" s="9">
        <f t="shared" si="8"/>
        <v>495</v>
      </c>
      <c r="V9" t="b">
        <f t="shared" si="9"/>
        <v>1</v>
      </c>
      <c r="W9" t="b">
        <f t="shared" si="10"/>
        <v>1</v>
      </c>
      <c r="X9" t="b">
        <f t="shared" si="11"/>
        <v>1</v>
      </c>
      <c r="Y9" t="b">
        <f t="shared" si="12"/>
        <v>1</v>
      </c>
    </row>
    <row r="10" spans="1:25" x14ac:dyDescent="0.3">
      <c r="A10" t="str">
        <f t="shared" si="0"/>
        <v>Master Model G10 Grizzly XL Relapse_TwoAge_B060.05JAGS_Female_2000</v>
      </c>
      <c r="B10" t="str">
        <f t="shared" si="1"/>
        <v>G10</v>
      </c>
      <c r="C10" t="str">
        <f t="shared" si="2"/>
        <v>TwoAge</v>
      </c>
      <c r="D10" t="str">
        <f t="shared" si="3"/>
        <v>B06</v>
      </c>
      <c r="E10" t="s">
        <v>32</v>
      </c>
      <c r="F10">
        <v>0.05</v>
      </c>
      <c r="G10" t="s">
        <v>59</v>
      </c>
      <c r="H10" s="9">
        <v>785295</v>
      </c>
      <c r="J10" t="str">
        <f t="shared" si="4"/>
        <v>G10</v>
      </c>
      <c r="K10" t="str">
        <f t="shared" si="5"/>
        <v>TwoAge</v>
      </c>
      <c r="L10" t="str">
        <f t="shared" si="6"/>
        <v>B06</v>
      </c>
      <c r="M10" t="s">
        <v>32</v>
      </c>
      <c r="N10">
        <v>0.05</v>
      </c>
      <c r="O10" t="s">
        <v>37</v>
      </c>
      <c r="P10" s="9">
        <v>785373</v>
      </c>
      <c r="Q10" s="9">
        <v>412</v>
      </c>
      <c r="S10" s="9">
        <f t="shared" si="7"/>
        <v>78</v>
      </c>
      <c r="T10" s="9">
        <f t="shared" si="8"/>
        <v>334</v>
      </c>
      <c r="V10" t="b">
        <f t="shared" si="9"/>
        <v>1</v>
      </c>
      <c r="W10" t="b">
        <f t="shared" si="10"/>
        <v>1</v>
      </c>
      <c r="X10" t="b">
        <f t="shared" si="11"/>
        <v>1</v>
      </c>
      <c r="Y10" t="b">
        <f t="shared" si="12"/>
        <v>1</v>
      </c>
    </row>
    <row r="11" spans="1:25" x14ac:dyDescent="0.3">
      <c r="A11" t="str">
        <f t="shared" si="0"/>
        <v>Master Model G10 Grizzly XL Relapse_TwoAge_B070.05JAGS_Female_2000</v>
      </c>
      <c r="B11" t="str">
        <f t="shared" si="1"/>
        <v>G10</v>
      </c>
      <c r="C11" t="str">
        <f t="shared" si="2"/>
        <v>TwoAge</v>
      </c>
      <c r="D11" t="str">
        <f t="shared" si="3"/>
        <v>B07</v>
      </c>
      <c r="E11" t="s">
        <v>32</v>
      </c>
      <c r="F11">
        <v>0.05</v>
      </c>
      <c r="G11" t="s">
        <v>60</v>
      </c>
      <c r="H11" s="9">
        <v>785131</v>
      </c>
      <c r="J11" t="str">
        <f t="shared" si="4"/>
        <v>G10</v>
      </c>
      <c r="K11" t="str">
        <f t="shared" si="5"/>
        <v>TwoAge</v>
      </c>
      <c r="L11" t="str">
        <f t="shared" si="6"/>
        <v>B07</v>
      </c>
      <c r="M11" t="s">
        <v>32</v>
      </c>
      <c r="N11">
        <v>0.05</v>
      </c>
      <c r="O11" t="s">
        <v>38</v>
      </c>
      <c r="P11" s="9">
        <v>785172</v>
      </c>
      <c r="Q11" s="9">
        <v>211</v>
      </c>
      <c r="S11" s="9">
        <f t="shared" si="7"/>
        <v>41</v>
      </c>
      <c r="T11" s="9">
        <f t="shared" si="8"/>
        <v>170</v>
      </c>
      <c r="V11" t="b">
        <f t="shared" si="9"/>
        <v>1</v>
      </c>
      <c r="W11" t="b">
        <f t="shared" si="10"/>
        <v>1</v>
      </c>
      <c r="X11" t="b">
        <f t="shared" si="11"/>
        <v>1</v>
      </c>
      <c r="Y11" t="b">
        <f t="shared" si="12"/>
        <v>1</v>
      </c>
    </row>
    <row r="12" spans="1:25" x14ac:dyDescent="0.3">
      <c r="A12" t="str">
        <f t="shared" si="0"/>
        <v>Master Model G10 Grizzly XL Relapse_TwoAge_B080.05JAGS_Female_2000</v>
      </c>
      <c r="B12" t="str">
        <f t="shared" si="1"/>
        <v>G10</v>
      </c>
      <c r="C12" t="str">
        <f t="shared" si="2"/>
        <v>TwoAge</v>
      </c>
      <c r="D12" t="str">
        <f t="shared" si="3"/>
        <v>B08</v>
      </c>
      <c r="E12" t="s">
        <v>32</v>
      </c>
      <c r="F12">
        <v>0.05</v>
      </c>
      <c r="G12" t="s">
        <v>61</v>
      </c>
      <c r="H12" s="9">
        <v>785022</v>
      </c>
      <c r="J12" t="str">
        <f t="shared" si="4"/>
        <v>G10</v>
      </c>
      <c r="K12" t="str">
        <f t="shared" si="5"/>
        <v>TwoAge</v>
      </c>
      <c r="L12" t="str">
        <f t="shared" si="6"/>
        <v>B08</v>
      </c>
      <c r="M12" t="s">
        <v>32</v>
      </c>
      <c r="N12">
        <v>0.05</v>
      </c>
      <c r="O12" t="s">
        <v>39</v>
      </c>
      <c r="P12" s="9">
        <v>785033</v>
      </c>
      <c r="Q12" s="9">
        <v>72</v>
      </c>
      <c r="S12" s="9">
        <f t="shared" si="7"/>
        <v>11</v>
      </c>
      <c r="T12" s="9">
        <f t="shared" si="8"/>
        <v>61</v>
      </c>
      <c r="V12" t="b">
        <f t="shared" si="9"/>
        <v>1</v>
      </c>
      <c r="W12" t="b">
        <f t="shared" si="10"/>
        <v>1</v>
      </c>
      <c r="X12" t="b">
        <f t="shared" si="11"/>
        <v>1</v>
      </c>
      <c r="Y12" t="b">
        <f t="shared" si="12"/>
        <v>1</v>
      </c>
    </row>
    <row r="13" spans="1:25" x14ac:dyDescent="0.3">
      <c r="A13" t="str">
        <f t="shared" si="0"/>
        <v>Master Model G10 Grizzly XL Relapse_TwoAge_B090.05JAGS_Female_2000</v>
      </c>
      <c r="B13" t="str">
        <f t="shared" si="1"/>
        <v>G10</v>
      </c>
      <c r="C13" t="str">
        <f t="shared" si="2"/>
        <v>TwoAge</v>
      </c>
      <c r="D13" t="str">
        <f t="shared" si="3"/>
        <v>B09</v>
      </c>
      <c r="E13" t="s">
        <v>32</v>
      </c>
      <c r="F13">
        <v>0.05</v>
      </c>
      <c r="G13" t="s">
        <v>62</v>
      </c>
      <c r="H13" s="9">
        <v>784976</v>
      </c>
      <c r="J13" t="str">
        <f t="shared" si="4"/>
        <v>G10</v>
      </c>
      <c r="K13" t="str">
        <f t="shared" si="5"/>
        <v>TwoAge</v>
      </c>
      <c r="L13" t="str">
        <f t="shared" si="6"/>
        <v>B09</v>
      </c>
      <c r="M13" t="s">
        <v>32</v>
      </c>
      <c r="N13">
        <v>0.05</v>
      </c>
      <c r="O13" t="s">
        <v>40</v>
      </c>
      <c r="P13" s="9">
        <v>784982</v>
      </c>
      <c r="Q13" s="9">
        <v>21</v>
      </c>
      <c r="S13" s="9">
        <f t="shared" si="7"/>
        <v>6</v>
      </c>
      <c r="T13" s="9">
        <f t="shared" si="8"/>
        <v>15</v>
      </c>
      <c r="V13" t="b">
        <f t="shared" si="9"/>
        <v>1</v>
      </c>
      <c r="W13" t="b">
        <f t="shared" si="10"/>
        <v>1</v>
      </c>
      <c r="X13" t="b">
        <f t="shared" si="11"/>
        <v>1</v>
      </c>
      <c r="Y13" t="b">
        <f t="shared" si="12"/>
        <v>1</v>
      </c>
    </row>
    <row r="14" spans="1:25" x14ac:dyDescent="0.3">
      <c r="A14" t="str">
        <f t="shared" si="0"/>
        <v>Master Model G10 Grizzly XL Relapse_TwoAge_B100.05JAGS_Female_2000</v>
      </c>
      <c r="B14" t="str">
        <f t="shared" si="1"/>
        <v>G10</v>
      </c>
      <c r="C14" t="str">
        <f t="shared" si="2"/>
        <v>TwoAge</v>
      </c>
      <c r="D14" t="str">
        <f t="shared" si="3"/>
        <v>B10</v>
      </c>
      <c r="E14" t="s">
        <v>32</v>
      </c>
      <c r="F14">
        <v>0.05</v>
      </c>
      <c r="G14" t="s">
        <v>63</v>
      </c>
      <c r="H14" s="9">
        <v>784967</v>
      </c>
      <c r="J14" t="str">
        <f t="shared" si="4"/>
        <v>G10</v>
      </c>
      <c r="K14" t="str">
        <f t="shared" si="5"/>
        <v>TwoAge</v>
      </c>
      <c r="L14" t="str">
        <f t="shared" si="6"/>
        <v>B10</v>
      </c>
      <c r="M14" t="s">
        <v>32</v>
      </c>
      <c r="N14">
        <v>0.05</v>
      </c>
      <c r="O14" t="s">
        <v>41</v>
      </c>
      <c r="P14" s="9">
        <v>784970</v>
      </c>
      <c r="Q14" s="9">
        <v>8</v>
      </c>
      <c r="S14" s="9">
        <f t="shared" si="7"/>
        <v>3</v>
      </c>
      <c r="T14" s="9">
        <f t="shared" si="8"/>
        <v>5</v>
      </c>
      <c r="V14" t="b">
        <f t="shared" si="9"/>
        <v>1</v>
      </c>
      <c r="W14" t="b">
        <f t="shared" si="10"/>
        <v>1</v>
      </c>
      <c r="X14" t="b">
        <f t="shared" si="11"/>
        <v>1</v>
      </c>
      <c r="Y14" t="b">
        <f t="shared" si="12"/>
        <v>1</v>
      </c>
    </row>
    <row r="15" spans="1:25" x14ac:dyDescent="0.3">
      <c r="A15" t="str">
        <f t="shared" si="0"/>
        <v>Master Model G10 Grizzly XL Relapse_TwoAge_B110.05JAGS_Female_2000</v>
      </c>
      <c r="B15" t="str">
        <f t="shared" si="1"/>
        <v>G10</v>
      </c>
      <c r="C15" t="str">
        <f t="shared" si="2"/>
        <v>TwoAge</v>
      </c>
      <c r="D15" t="str">
        <f t="shared" si="3"/>
        <v>B11</v>
      </c>
      <c r="E15" t="s">
        <v>32</v>
      </c>
      <c r="F15">
        <v>0.05</v>
      </c>
      <c r="G15" t="s">
        <v>64</v>
      </c>
      <c r="H15" s="9">
        <v>784963</v>
      </c>
      <c r="J15" t="str">
        <f t="shared" si="4"/>
        <v>G10</v>
      </c>
      <c r="K15" t="str">
        <f t="shared" si="5"/>
        <v>TwoAge</v>
      </c>
      <c r="L15" t="str">
        <f t="shared" si="6"/>
        <v>B11</v>
      </c>
      <c r="M15" t="s">
        <v>32</v>
      </c>
      <c r="N15">
        <v>0.05</v>
      </c>
      <c r="O15" t="s">
        <v>42</v>
      </c>
      <c r="P15" s="9">
        <v>784963</v>
      </c>
      <c r="Q15" s="9">
        <v>2</v>
      </c>
      <c r="S15" s="9">
        <f t="shared" si="7"/>
        <v>0</v>
      </c>
      <c r="T15" s="9">
        <f t="shared" si="8"/>
        <v>2</v>
      </c>
      <c r="V15" t="b">
        <f t="shared" si="9"/>
        <v>1</v>
      </c>
      <c r="W15" t="b">
        <f t="shared" si="10"/>
        <v>1</v>
      </c>
      <c r="X15" t="b">
        <f t="shared" si="11"/>
        <v>1</v>
      </c>
      <c r="Y15" t="b">
        <f t="shared" si="12"/>
        <v>1</v>
      </c>
    </row>
    <row r="16" spans="1:25" x14ac:dyDescent="0.3">
      <c r="A16" t="str">
        <f t="shared" si="0"/>
        <v>Master Model G25 Grizzly XL Relapse_TwoAge_B010.05JAGS_Female_2000</v>
      </c>
      <c r="B16" t="str">
        <f t="shared" si="1"/>
        <v>G25</v>
      </c>
      <c r="C16" t="str">
        <f t="shared" si="2"/>
        <v>TwoAge</v>
      </c>
      <c r="D16" t="str">
        <f t="shared" si="3"/>
        <v>B01</v>
      </c>
      <c r="E16" t="s">
        <v>32</v>
      </c>
      <c r="F16">
        <v>0.05</v>
      </c>
      <c r="G16" t="s">
        <v>65</v>
      </c>
      <c r="H16" s="9">
        <v>786713</v>
      </c>
      <c r="J16" t="str">
        <f t="shared" si="4"/>
        <v>G25</v>
      </c>
      <c r="K16" t="str">
        <f t="shared" si="5"/>
        <v>TwoAge</v>
      </c>
      <c r="L16" t="str">
        <f t="shared" si="6"/>
        <v>B01</v>
      </c>
      <c r="M16" t="s">
        <v>32</v>
      </c>
      <c r="N16">
        <v>0.05</v>
      </c>
      <c r="O16" t="s">
        <v>43</v>
      </c>
      <c r="P16" s="9">
        <v>786878</v>
      </c>
      <c r="Q16" s="9">
        <v>1916</v>
      </c>
      <c r="S16" s="9">
        <f t="shared" si="7"/>
        <v>165</v>
      </c>
      <c r="T16" s="9">
        <f t="shared" si="8"/>
        <v>1751</v>
      </c>
      <c r="V16" t="b">
        <f t="shared" si="9"/>
        <v>1</v>
      </c>
      <c r="W16" t="b">
        <f t="shared" si="10"/>
        <v>1</v>
      </c>
      <c r="X16" t="b">
        <f t="shared" si="11"/>
        <v>1</v>
      </c>
      <c r="Y16" t="b">
        <f t="shared" si="12"/>
        <v>1</v>
      </c>
    </row>
    <row r="17" spans="1:25" x14ac:dyDescent="0.3">
      <c r="A17" t="str">
        <f t="shared" si="0"/>
        <v>Master Model G25 Grizzly XL Relapse_TwoAge_B020.05JAGS_Female_2000</v>
      </c>
      <c r="B17" t="str">
        <f t="shared" si="1"/>
        <v>G25</v>
      </c>
      <c r="C17" t="str">
        <f t="shared" si="2"/>
        <v>TwoAge</v>
      </c>
      <c r="D17" t="str">
        <f t="shared" si="3"/>
        <v>B02</v>
      </c>
      <c r="E17" t="s">
        <v>32</v>
      </c>
      <c r="F17">
        <v>0.05</v>
      </c>
      <c r="G17" t="s">
        <v>66</v>
      </c>
      <c r="H17" s="9">
        <v>786529</v>
      </c>
      <c r="J17" t="str">
        <f t="shared" si="4"/>
        <v>G25</v>
      </c>
      <c r="K17" t="str">
        <f t="shared" si="5"/>
        <v>TwoAge</v>
      </c>
      <c r="L17" t="str">
        <f t="shared" si="6"/>
        <v>B02</v>
      </c>
      <c r="M17" t="s">
        <v>32</v>
      </c>
      <c r="N17">
        <v>0.05</v>
      </c>
      <c r="O17" t="s">
        <v>44</v>
      </c>
      <c r="P17" s="9">
        <v>786698</v>
      </c>
      <c r="Q17" s="9">
        <v>1737</v>
      </c>
      <c r="S17" s="9">
        <f t="shared" si="7"/>
        <v>169</v>
      </c>
      <c r="T17" s="9">
        <f t="shared" si="8"/>
        <v>1568</v>
      </c>
      <c r="V17" t="b">
        <f t="shared" si="9"/>
        <v>1</v>
      </c>
      <c r="W17" t="b">
        <f t="shared" si="10"/>
        <v>1</v>
      </c>
      <c r="X17" t="b">
        <f t="shared" si="11"/>
        <v>1</v>
      </c>
      <c r="Y17" t="b">
        <f t="shared" si="12"/>
        <v>1</v>
      </c>
    </row>
    <row r="18" spans="1:25" x14ac:dyDescent="0.3">
      <c r="A18" t="str">
        <f t="shared" si="0"/>
        <v>Master Model G25 Grizzly XL Relapse_TwoAge_B030.05JAGS_Female_2000</v>
      </c>
      <c r="B18" t="str">
        <f t="shared" si="1"/>
        <v>G25</v>
      </c>
      <c r="C18" t="str">
        <f t="shared" si="2"/>
        <v>TwoAge</v>
      </c>
      <c r="D18" t="str">
        <f t="shared" si="3"/>
        <v>B03</v>
      </c>
      <c r="E18" t="s">
        <v>32</v>
      </c>
      <c r="F18">
        <v>0.05</v>
      </c>
      <c r="G18" t="s">
        <v>67</v>
      </c>
      <c r="H18" s="9">
        <v>785964</v>
      </c>
      <c r="J18" t="str">
        <f t="shared" si="4"/>
        <v>G25</v>
      </c>
      <c r="K18" t="str">
        <f t="shared" si="5"/>
        <v>TwoAge</v>
      </c>
      <c r="L18" t="str">
        <f t="shared" si="6"/>
        <v>B03</v>
      </c>
      <c r="M18" t="s">
        <v>32</v>
      </c>
      <c r="N18">
        <v>0.05</v>
      </c>
      <c r="O18" t="s">
        <v>45</v>
      </c>
      <c r="P18" s="9">
        <v>786143</v>
      </c>
      <c r="Q18" s="9">
        <v>1181</v>
      </c>
      <c r="S18" s="9">
        <f t="shared" si="7"/>
        <v>179</v>
      </c>
      <c r="T18" s="9">
        <f t="shared" si="8"/>
        <v>1002</v>
      </c>
      <c r="V18" t="b">
        <f t="shared" si="9"/>
        <v>1</v>
      </c>
      <c r="W18" t="b">
        <f t="shared" si="10"/>
        <v>1</v>
      </c>
      <c r="X18" t="b">
        <f t="shared" si="11"/>
        <v>1</v>
      </c>
      <c r="Y18" t="b">
        <f t="shared" si="12"/>
        <v>1</v>
      </c>
    </row>
    <row r="19" spans="1:25" x14ac:dyDescent="0.3">
      <c r="A19" t="str">
        <f t="shared" si="0"/>
        <v>Master Model G25 Grizzly XL Relapse_TwoAge_B040.05JAGS_Female_2000</v>
      </c>
      <c r="B19" t="str">
        <f t="shared" si="1"/>
        <v>G25</v>
      </c>
      <c r="C19" t="str">
        <f t="shared" si="2"/>
        <v>TwoAge</v>
      </c>
      <c r="D19" t="str">
        <f t="shared" si="3"/>
        <v>B04</v>
      </c>
      <c r="E19" t="s">
        <v>32</v>
      </c>
      <c r="F19">
        <v>0.05</v>
      </c>
      <c r="G19" t="s">
        <v>68</v>
      </c>
      <c r="H19" s="9">
        <v>785657</v>
      </c>
      <c r="J19" t="str">
        <f t="shared" si="4"/>
        <v>G25</v>
      </c>
      <c r="K19" t="str">
        <f t="shared" si="5"/>
        <v>TwoAge</v>
      </c>
      <c r="L19" t="str">
        <f t="shared" si="6"/>
        <v>B04</v>
      </c>
      <c r="M19" t="s">
        <v>32</v>
      </c>
      <c r="N19">
        <v>0.05</v>
      </c>
      <c r="O19" t="s">
        <v>46</v>
      </c>
      <c r="P19" s="9">
        <v>785814</v>
      </c>
      <c r="Q19" s="9">
        <v>853</v>
      </c>
      <c r="S19" s="9">
        <f t="shared" si="7"/>
        <v>157</v>
      </c>
      <c r="T19" s="9">
        <f t="shared" si="8"/>
        <v>696</v>
      </c>
      <c r="V19" t="b">
        <f t="shared" si="9"/>
        <v>1</v>
      </c>
      <c r="W19" t="b">
        <f t="shared" si="10"/>
        <v>1</v>
      </c>
      <c r="X19" t="b">
        <f t="shared" si="11"/>
        <v>1</v>
      </c>
      <c r="Y19" t="b">
        <f t="shared" si="12"/>
        <v>1</v>
      </c>
    </row>
    <row r="20" spans="1:25" x14ac:dyDescent="0.3">
      <c r="A20" t="str">
        <f t="shared" si="0"/>
        <v>Master Model G25 Grizzly XL Relapse_TwoAge_B050.05JAGS_Female_2000</v>
      </c>
      <c r="B20" t="str">
        <f t="shared" si="1"/>
        <v>G25</v>
      </c>
      <c r="C20" t="str">
        <f t="shared" si="2"/>
        <v>TwoAge</v>
      </c>
      <c r="D20" t="str">
        <f t="shared" si="3"/>
        <v>B05</v>
      </c>
      <c r="E20" t="s">
        <v>32</v>
      </c>
      <c r="F20">
        <v>0.05</v>
      </c>
      <c r="G20" t="s">
        <v>69</v>
      </c>
      <c r="H20" s="9">
        <v>785456</v>
      </c>
      <c r="J20" t="str">
        <f t="shared" si="4"/>
        <v>G25</v>
      </c>
      <c r="K20" t="str">
        <f t="shared" si="5"/>
        <v>TwoAge</v>
      </c>
      <c r="L20" t="str">
        <f t="shared" si="6"/>
        <v>B05</v>
      </c>
      <c r="M20" t="s">
        <v>32</v>
      </c>
      <c r="N20">
        <v>0.05</v>
      </c>
      <c r="O20" t="s">
        <v>47</v>
      </c>
      <c r="P20" s="9">
        <v>785557</v>
      </c>
      <c r="Q20" s="9">
        <v>596</v>
      </c>
      <c r="S20" s="9">
        <f t="shared" si="7"/>
        <v>101</v>
      </c>
      <c r="T20" s="9">
        <f t="shared" si="8"/>
        <v>495</v>
      </c>
      <c r="V20" t="b">
        <f t="shared" si="9"/>
        <v>1</v>
      </c>
      <c r="W20" t="b">
        <f t="shared" si="10"/>
        <v>1</v>
      </c>
      <c r="X20" t="b">
        <f t="shared" si="11"/>
        <v>1</v>
      </c>
      <c r="Y20" t="b">
        <f t="shared" si="12"/>
        <v>1</v>
      </c>
    </row>
    <row r="21" spans="1:25" x14ac:dyDescent="0.3">
      <c r="A21" t="str">
        <f t="shared" si="0"/>
        <v>Master Model G25 Grizzly XL Relapse_TwoAge_B060.05JAGS_Female_2000</v>
      </c>
      <c r="B21" t="str">
        <f t="shared" si="1"/>
        <v>G25</v>
      </c>
      <c r="C21" t="str">
        <f t="shared" si="2"/>
        <v>TwoAge</v>
      </c>
      <c r="D21" t="str">
        <f t="shared" si="3"/>
        <v>B06</v>
      </c>
      <c r="E21" t="s">
        <v>32</v>
      </c>
      <c r="F21">
        <v>0.05</v>
      </c>
      <c r="G21" t="s">
        <v>70</v>
      </c>
      <c r="H21" s="9">
        <v>785295</v>
      </c>
      <c r="J21" t="str">
        <f t="shared" si="4"/>
        <v>G25</v>
      </c>
      <c r="K21" t="str">
        <f t="shared" si="5"/>
        <v>TwoAge</v>
      </c>
      <c r="L21" t="str">
        <f t="shared" si="6"/>
        <v>B06</v>
      </c>
      <c r="M21" t="s">
        <v>32</v>
      </c>
      <c r="N21">
        <v>0.05</v>
      </c>
      <c r="O21" t="s">
        <v>48</v>
      </c>
      <c r="P21" s="9">
        <v>785373</v>
      </c>
      <c r="Q21" s="9">
        <v>412</v>
      </c>
      <c r="S21" s="9">
        <f t="shared" si="7"/>
        <v>78</v>
      </c>
      <c r="T21" s="9">
        <f t="shared" si="8"/>
        <v>334</v>
      </c>
      <c r="V21" t="b">
        <f t="shared" si="9"/>
        <v>1</v>
      </c>
      <c r="W21" t="b">
        <f t="shared" si="10"/>
        <v>1</v>
      </c>
      <c r="X21" t="b">
        <f t="shared" si="11"/>
        <v>1</v>
      </c>
      <c r="Y21" t="b">
        <f t="shared" si="12"/>
        <v>1</v>
      </c>
    </row>
    <row r="22" spans="1:25" x14ac:dyDescent="0.3">
      <c r="A22" t="str">
        <f t="shared" si="0"/>
        <v>Master Model G25 Grizzly XL Relapse_TwoAge_B070.05JAGS_Female_2000</v>
      </c>
      <c r="B22" t="str">
        <f t="shared" si="1"/>
        <v>G25</v>
      </c>
      <c r="C22" t="str">
        <f t="shared" si="2"/>
        <v>TwoAge</v>
      </c>
      <c r="D22" t="str">
        <f t="shared" si="3"/>
        <v>B07</v>
      </c>
      <c r="E22" t="s">
        <v>32</v>
      </c>
      <c r="F22">
        <v>0.05</v>
      </c>
      <c r="G22" t="s">
        <v>71</v>
      </c>
      <c r="H22" s="9">
        <v>785131</v>
      </c>
      <c r="J22" t="str">
        <f t="shared" si="4"/>
        <v>G25</v>
      </c>
      <c r="K22" t="str">
        <f t="shared" si="5"/>
        <v>TwoAge</v>
      </c>
      <c r="L22" t="str">
        <f t="shared" si="6"/>
        <v>B07</v>
      </c>
      <c r="M22" t="s">
        <v>32</v>
      </c>
      <c r="N22">
        <v>0.05</v>
      </c>
      <c r="O22" t="s">
        <v>49</v>
      </c>
      <c r="P22" s="9">
        <v>785172</v>
      </c>
      <c r="Q22" s="9">
        <v>211</v>
      </c>
      <c r="S22" s="9">
        <f t="shared" si="7"/>
        <v>41</v>
      </c>
      <c r="T22" s="9">
        <f t="shared" si="8"/>
        <v>170</v>
      </c>
      <c r="V22" t="b">
        <f t="shared" si="9"/>
        <v>1</v>
      </c>
      <c r="W22" t="b">
        <f t="shared" si="10"/>
        <v>1</v>
      </c>
      <c r="X22" t="b">
        <f t="shared" si="11"/>
        <v>1</v>
      </c>
      <c r="Y22" t="b">
        <f t="shared" si="12"/>
        <v>1</v>
      </c>
    </row>
    <row r="23" spans="1:25" x14ac:dyDescent="0.3">
      <c r="A23" t="str">
        <f t="shared" si="0"/>
        <v>Master Model G25 Grizzly XL Relapse_TwoAge_B080.05JAGS_Female_2000</v>
      </c>
      <c r="B23" t="str">
        <f t="shared" si="1"/>
        <v>G25</v>
      </c>
      <c r="C23" t="str">
        <f t="shared" si="2"/>
        <v>TwoAge</v>
      </c>
      <c r="D23" t="str">
        <f t="shared" si="3"/>
        <v>B08</v>
      </c>
      <c r="E23" t="s">
        <v>32</v>
      </c>
      <c r="F23">
        <v>0.05</v>
      </c>
      <c r="G23" t="s">
        <v>72</v>
      </c>
      <c r="H23" s="9">
        <v>785022</v>
      </c>
      <c r="J23" t="str">
        <f t="shared" si="4"/>
        <v>G25</v>
      </c>
      <c r="K23" t="str">
        <f t="shared" si="5"/>
        <v>TwoAge</v>
      </c>
      <c r="L23" t="str">
        <f t="shared" si="6"/>
        <v>B08</v>
      </c>
      <c r="M23" t="s">
        <v>32</v>
      </c>
      <c r="N23">
        <v>0.05</v>
      </c>
      <c r="O23" t="s">
        <v>50</v>
      </c>
      <c r="P23" s="9">
        <v>785033</v>
      </c>
      <c r="Q23" s="9">
        <v>72</v>
      </c>
      <c r="S23" s="9">
        <f t="shared" si="7"/>
        <v>11</v>
      </c>
      <c r="T23" s="9">
        <f t="shared" si="8"/>
        <v>61</v>
      </c>
      <c r="V23" t="b">
        <f t="shared" si="9"/>
        <v>1</v>
      </c>
      <c r="W23" t="b">
        <f t="shared" si="10"/>
        <v>1</v>
      </c>
      <c r="X23" t="b">
        <f t="shared" si="11"/>
        <v>1</v>
      </c>
      <c r="Y23" t="b">
        <f t="shared" si="12"/>
        <v>1</v>
      </c>
    </row>
    <row r="24" spans="1:25" x14ac:dyDescent="0.3">
      <c r="A24" t="str">
        <f t="shared" si="0"/>
        <v>Master Model G25 Grizzly XL Relapse_TwoAge_B090.05JAGS_Female_2000</v>
      </c>
      <c r="B24" t="str">
        <f t="shared" si="1"/>
        <v>G25</v>
      </c>
      <c r="C24" t="str">
        <f t="shared" si="2"/>
        <v>TwoAge</v>
      </c>
      <c r="D24" t="str">
        <f t="shared" si="3"/>
        <v>B09</v>
      </c>
      <c r="E24" t="s">
        <v>32</v>
      </c>
      <c r="F24">
        <v>0.05</v>
      </c>
      <c r="G24" t="s">
        <v>73</v>
      </c>
      <c r="H24" s="9">
        <v>784976</v>
      </c>
      <c r="J24" t="str">
        <f t="shared" si="4"/>
        <v>G25</v>
      </c>
      <c r="K24" t="str">
        <f t="shared" si="5"/>
        <v>TwoAge</v>
      </c>
      <c r="L24" t="str">
        <f t="shared" si="6"/>
        <v>B09</v>
      </c>
      <c r="M24" t="s">
        <v>32</v>
      </c>
      <c r="N24">
        <v>0.05</v>
      </c>
      <c r="O24" t="s">
        <v>51</v>
      </c>
      <c r="P24" s="9">
        <v>784982</v>
      </c>
      <c r="Q24" s="9">
        <v>21</v>
      </c>
      <c r="S24" s="9">
        <f t="shared" si="7"/>
        <v>6</v>
      </c>
      <c r="T24" s="9">
        <f t="shared" si="8"/>
        <v>15</v>
      </c>
      <c r="V24" t="b">
        <f t="shared" si="9"/>
        <v>1</v>
      </c>
      <c r="W24" t="b">
        <f t="shared" si="10"/>
        <v>1</v>
      </c>
      <c r="X24" t="b">
        <f t="shared" si="11"/>
        <v>1</v>
      </c>
      <c r="Y24" t="b">
        <f t="shared" si="12"/>
        <v>1</v>
      </c>
    </row>
    <row r="25" spans="1:25" x14ac:dyDescent="0.3">
      <c r="A25" t="str">
        <f t="shared" si="0"/>
        <v>Master Model G25 Grizzly XL Relapse_TwoAge_B100.05JAGS_Female_2000</v>
      </c>
      <c r="B25" t="str">
        <f t="shared" si="1"/>
        <v>G25</v>
      </c>
      <c r="C25" t="str">
        <f t="shared" si="2"/>
        <v>TwoAge</v>
      </c>
      <c r="D25" t="str">
        <f t="shared" si="3"/>
        <v>B10</v>
      </c>
      <c r="E25" t="s">
        <v>32</v>
      </c>
      <c r="F25">
        <v>0.05</v>
      </c>
      <c r="G25" t="s">
        <v>74</v>
      </c>
      <c r="H25" s="9">
        <v>784967</v>
      </c>
      <c r="J25" t="str">
        <f t="shared" si="4"/>
        <v>G25</v>
      </c>
      <c r="K25" t="str">
        <f t="shared" si="5"/>
        <v>TwoAge</v>
      </c>
      <c r="L25" t="str">
        <f t="shared" si="6"/>
        <v>B10</v>
      </c>
      <c r="M25" t="s">
        <v>32</v>
      </c>
      <c r="N25">
        <v>0.05</v>
      </c>
      <c r="O25" t="s">
        <v>52</v>
      </c>
      <c r="P25" s="9">
        <v>784970</v>
      </c>
      <c r="Q25" s="9">
        <v>8</v>
      </c>
      <c r="S25" s="9">
        <f t="shared" si="7"/>
        <v>3</v>
      </c>
      <c r="T25" s="9">
        <f t="shared" si="8"/>
        <v>5</v>
      </c>
      <c r="V25" t="b">
        <f t="shared" si="9"/>
        <v>1</v>
      </c>
      <c r="W25" t="b">
        <f t="shared" si="10"/>
        <v>1</v>
      </c>
      <c r="X25" t="b">
        <f t="shared" si="11"/>
        <v>1</v>
      </c>
      <c r="Y25" t="b">
        <f t="shared" si="12"/>
        <v>1</v>
      </c>
    </row>
    <row r="26" spans="1:25" x14ac:dyDescent="0.3">
      <c r="A26" t="str">
        <f t="shared" si="0"/>
        <v>Master Model G25 Grizzly XL Relapse_TwoAge_B110.05JAGS_Female_2000</v>
      </c>
      <c r="B26" t="str">
        <f t="shared" si="1"/>
        <v>G25</v>
      </c>
      <c r="C26" t="str">
        <f t="shared" si="2"/>
        <v>TwoAge</v>
      </c>
      <c r="D26" t="str">
        <f t="shared" si="3"/>
        <v>B11</v>
      </c>
      <c r="E26" t="s">
        <v>32</v>
      </c>
      <c r="F26">
        <v>0.05</v>
      </c>
      <c r="G26" t="s">
        <v>75</v>
      </c>
      <c r="H26" s="9">
        <v>784963</v>
      </c>
      <c r="J26" t="str">
        <f t="shared" si="4"/>
        <v>G25</v>
      </c>
      <c r="K26" t="str">
        <f t="shared" si="5"/>
        <v>TwoAge</v>
      </c>
      <c r="L26" t="str">
        <f t="shared" si="6"/>
        <v>B11</v>
      </c>
      <c r="M26" t="s">
        <v>32</v>
      </c>
      <c r="N26">
        <v>0.05</v>
      </c>
      <c r="O26" t="s">
        <v>53</v>
      </c>
      <c r="P26" s="9">
        <v>784963</v>
      </c>
      <c r="Q26" s="9">
        <v>2</v>
      </c>
      <c r="S26" s="9">
        <f t="shared" si="7"/>
        <v>0</v>
      </c>
      <c r="T26" s="9">
        <f t="shared" si="8"/>
        <v>2</v>
      </c>
      <c r="V26" t="b">
        <f t="shared" si="9"/>
        <v>1</v>
      </c>
      <c r="W26" t="b">
        <f t="shared" si="10"/>
        <v>1</v>
      </c>
      <c r="X26" t="b">
        <f t="shared" si="11"/>
        <v>1</v>
      </c>
      <c r="Y26" t="b">
        <f t="shared" si="12"/>
        <v>1</v>
      </c>
    </row>
    <row r="27" spans="1:25" x14ac:dyDescent="0.3">
      <c r="A27" t="str">
        <f t="shared" si="0"/>
        <v>Master Model G10 Grizzly XL Relapse_TwoAge_B010.1JAGS_Female_2000</v>
      </c>
      <c r="B27" t="str">
        <f t="shared" si="1"/>
        <v>G10</v>
      </c>
      <c r="C27" t="str">
        <f t="shared" si="2"/>
        <v>TwoAge</v>
      </c>
      <c r="D27" t="str">
        <f t="shared" si="3"/>
        <v>B01</v>
      </c>
      <c r="E27" t="s">
        <v>32</v>
      </c>
      <c r="F27">
        <v>0.1</v>
      </c>
      <c r="G27" t="s">
        <v>54</v>
      </c>
      <c r="H27" s="9">
        <v>786591</v>
      </c>
      <c r="J27" t="str">
        <f t="shared" si="4"/>
        <v>G10</v>
      </c>
      <c r="K27" t="str">
        <f t="shared" si="5"/>
        <v>TwoAge</v>
      </c>
      <c r="L27" t="str">
        <f t="shared" si="6"/>
        <v>B01</v>
      </c>
      <c r="M27" t="s">
        <v>32</v>
      </c>
      <c r="N27">
        <v>0.1</v>
      </c>
      <c r="O27" t="s">
        <v>22</v>
      </c>
      <c r="P27" s="9">
        <v>786744</v>
      </c>
      <c r="Q27" s="9">
        <v>1783</v>
      </c>
      <c r="S27" s="9">
        <f t="shared" si="7"/>
        <v>153</v>
      </c>
      <c r="T27" s="9">
        <f t="shared" si="8"/>
        <v>1630</v>
      </c>
      <c r="V27" t="b">
        <f t="shared" si="9"/>
        <v>1</v>
      </c>
      <c r="W27" t="b">
        <f t="shared" si="10"/>
        <v>1</v>
      </c>
      <c r="X27" t="b">
        <f t="shared" si="11"/>
        <v>1</v>
      </c>
      <c r="Y27" t="b">
        <f t="shared" si="12"/>
        <v>1</v>
      </c>
    </row>
    <row r="28" spans="1:25" x14ac:dyDescent="0.3">
      <c r="A28" t="str">
        <f t="shared" si="0"/>
        <v>Master Model G10 Grizzly XL Relapse_TwoAge_B020.1JAGS_Female_2000</v>
      </c>
      <c r="B28" t="str">
        <f t="shared" si="1"/>
        <v>G10</v>
      </c>
      <c r="C28" t="str">
        <f t="shared" si="2"/>
        <v>TwoAge</v>
      </c>
      <c r="D28" t="str">
        <f t="shared" si="3"/>
        <v>B02</v>
      </c>
      <c r="E28" t="s">
        <v>32</v>
      </c>
      <c r="F28">
        <v>0.1</v>
      </c>
      <c r="G28" t="s">
        <v>55</v>
      </c>
      <c r="H28" s="9">
        <v>786427</v>
      </c>
      <c r="J28" t="str">
        <f t="shared" si="4"/>
        <v>G10</v>
      </c>
      <c r="K28" t="str">
        <f t="shared" si="5"/>
        <v>TwoAge</v>
      </c>
      <c r="L28" t="str">
        <f t="shared" si="6"/>
        <v>B02</v>
      </c>
      <c r="M28" t="s">
        <v>32</v>
      </c>
      <c r="N28">
        <v>0.1</v>
      </c>
      <c r="O28" t="s">
        <v>33</v>
      </c>
      <c r="P28" s="9">
        <v>786584</v>
      </c>
      <c r="Q28" s="9">
        <v>1622</v>
      </c>
      <c r="S28" s="9">
        <f t="shared" si="7"/>
        <v>157</v>
      </c>
      <c r="T28" s="9">
        <f t="shared" si="8"/>
        <v>1465</v>
      </c>
      <c r="V28" t="b">
        <f t="shared" si="9"/>
        <v>1</v>
      </c>
      <c r="W28" t="b">
        <f t="shared" si="10"/>
        <v>1</v>
      </c>
      <c r="X28" t="b">
        <f t="shared" si="11"/>
        <v>1</v>
      </c>
      <c r="Y28" t="b">
        <f t="shared" si="12"/>
        <v>1</v>
      </c>
    </row>
    <row r="29" spans="1:25" x14ac:dyDescent="0.3">
      <c r="A29" t="str">
        <f t="shared" si="0"/>
        <v>Master Model G10 Grizzly XL Relapse_TwoAge_B030.1JAGS_Female_2000</v>
      </c>
      <c r="B29" t="str">
        <f t="shared" si="1"/>
        <v>G10</v>
      </c>
      <c r="C29" t="str">
        <f t="shared" si="2"/>
        <v>TwoAge</v>
      </c>
      <c r="D29" t="str">
        <f t="shared" si="3"/>
        <v>B03</v>
      </c>
      <c r="E29" t="s">
        <v>32</v>
      </c>
      <c r="F29">
        <v>0.1</v>
      </c>
      <c r="G29" t="s">
        <v>56</v>
      </c>
      <c r="H29" s="9">
        <v>785876</v>
      </c>
      <c r="J29" t="str">
        <f t="shared" si="4"/>
        <v>G10</v>
      </c>
      <c r="K29" t="str">
        <f t="shared" si="5"/>
        <v>TwoAge</v>
      </c>
      <c r="L29" t="str">
        <f t="shared" si="6"/>
        <v>B03</v>
      </c>
      <c r="M29" t="s">
        <v>32</v>
      </c>
      <c r="N29">
        <v>0.1</v>
      </c>
      <c r="O29" t="s">
        <v>34</v>
      </c>
      <c r="P29" s="9">
        <v>786042</v>
      </c>
      <c r="Q29" s="9">
        <v>1080</v>
      </c>
      <c r="S29" s="9">
        <f t="shared" si="7"/>
        <v>166</v>
      </c>
      <c r="T29" s="9">
        <f t="shared" si="8"/>
        <v>914</v>
      </c>
      <c r="V29" t="b">
        <f t="shared" si="9"/>
        <v>1</v>
      </c>
      <c r="W29" t="b">
        <f t="shared" si="10"/>
        <v>1</v>
      </c>
      <c r="X29" t="b">
        <f t="shared" si="11"/>
        <v>1</v>
      </c>
      <c r="Y29" t="b">
        <f t="shared" si="12"/>
        <v>1</v>
      </c>
    </row>
    <row r="30" spans="1:25" x14ac:dyDescent="0.3">
      <c r="A30" t="str">
        <f t="shared" si="0"/>
        <v>Master Model G10 Grizzly XL Relapse_TwoAge_B040.1JAGS_Female_2000</v>
      </c>
      <c r="B30" t="str">
        <f t="shared" si="1"/>
        <v>G10</v>
      </c>
      <c r="C30" t="str">
        <f t="shared" si="2"/>
        <v>TwoAge</v>
      </c>
      <c r="D30" t="str">
        <f t="shared" si="3"/>
        <v>B04</v>
      </c>
      <c r="E30" t="s">
        <v>32</v>
      </c>
      <c r="F30">
        <v>0.1</v>
      </c>
      <c r="G30" t="s">
        <v>57</v>
      </c>
      <c r="H30" s="9">
        <v>785586</v>
      </c>
      <c r="J30" t="str">
        <f t="shared" si="4"/>
        <v>G10</v>
      </c>
      <c r="K30" t="str">
        <f t="shared" si="5"/>
        <v>TwoAge</v>
      </c>
      <c r="L30" t="str">
        <f t="shared" si="6"/>
        <v>B04</v>
      </c>
      <c r="M30" t="s">
        <v>32</v>
      </c>
      <c r="N30">
        <v>0.1</v>
      </c>
      <c r="O30" t="s">
        <v>35</v>
      </c>
      <c r="P30" s="9">
        <v>785733</v>
      </c>
      <c r="Q30" s="9">
        <v>772</v>
      </c>
      <c r="S30" s="9">
        <f t="shared" si="7"/>
        <v>147</v>
      </c>
      <c r="T30" s="9">
        <f t="shared" si="8"/>
        <v>625</v>
      </c>
      <c r="V30" t="b">
        <f t="shared" si="9"/>
        <v>1</v>
      </c>
      <c r="W30" t="b">
        <f t="shared" si="10"/>
        <v>1</v>
      </c>
      <c r="X30" t="b">
        <f t="shared" si="11"/>
        <v>1</v>
      </c>
      <c r="Y30" t="b">
        <f t="shared" si="12"/>
        <v>1</v>
      </c>
    </row>
    <row r="31" spans="1:25" x14ac:dyDescent="0.3">
      <c r="A31" t="str">
        <f t="shared" si="0"/>
        <v>Master Model G10 Grizzly XL Relapse_TwoAge_B050.1JAGS_Female_2000</v>
      </c>
      <c r="B31" t="str">
        <f t="shared" si="1"/>
        <v>G10</v>
      </c>
      <c r="C31" t="str">
        <f t="shared" si="2"/>
        <v>TwoAge</v>
      </c>
      <c r="D31" t="str">
        <f t="shared" si="3"/>
        <v>B05</v>
      </c>
      <c r="E31" t="s">
        <v>32</v>
      </c>
      <c r="F31">
        <v>0.1</v>
      </c>
      <c r="G31" t="s">
        <v>58</v>
      </c>
      <c r="H31" s="9">
        <v>785409</v>
      </c>
      <c r="J31" t="str">
        <f t="shared" si="4"/>
        <v>G10</v>
      </c>
      <c r="K31" t="str">
        <f t="shared" si="5"/>
        <v>TwoAge</v>
      </c>
      <c r="L31" t="str">
        <f t="shared" si="6"/>
        <v>B05</v>
      </c>
      <c r="M31" t="s">
        <v>32</v>
      </c>
      <c r="N31">
        <v>0.1</v>
      </c>
      <c r="O31" t="s">
        <v>36</v>
      </c>
      <c r="P31" s="9">
        <v>785504</v>
      </c>
      <c r="Q31" s="9">
        <v>542</v>
      </c>
      <c r="S31" s="9">
        <f t="shared" si="7"/>
        <v>95</v>
      </c>
      <c r="T31" s="9">
        <f t="shared" si="8"/>
        <v>447</v>
      </c>
      <c r="V31" t="b">
        <f t="shared" si="9"/>
        <v>1</v>
      </c>
      <c r="W31" t="b">
        <f t="shared" si="10"/>
        <v>1</v>
      </c>
      <c r="X31" t="b">
        <f t="shared" si="11"/>
        <v>1</v>
      </c>
      <c r="Y31" t="b">
        <f t="shared" si="12"/>
        <v>1</v>
      </c>
    </row>
    <row r="32" spans="1:25" x14ac:dyDescent="0.3">
      <c r="A32" t="str">
        <f t="shared" si="0"/>
        <v>Master Model G10 Grizzly XL Relapse_TwoAge_B060.1JAGS_Female_2000</v>
      </c>
      <c r="B32" t="str">
        <f t="shared" si="1"/>
        <v>G10</v>
      </c>
      <c r="C32" t="str">
        <f t="shared" si="2"/>
        <v>TwoAge</v>
      </c>
      <c r="D32" t="str">
        <f t="shared" si="3"/>
        <v>B06</v>
      </c>
      <c r="E32" t="s">
        <v>32</v>
      </c>
      <c r="F32">
        <v>0.1</v>
      </c>
      <c r="G32" t="s">
        <v>59</v>
      </c>
      <c r="H32" s="9">
        <v>785263</v>
      </c>
      <c r="J32" t="str">
        <f t="shared" si="4"/>
        <v>G10</v>
      </c>
      <c r="K32" t="str">
        <f t="shared" si="5"/>
        <v>TwoAge</v>
      </c>
      <c r="L32" t="str">
        <f t="shared" si="6"/>
        <v>B06</v>
      </c>
      <c r="M32" t="s">
        <v>32</v>
      </c>
      <c r="N32">
        <v>0.1</v>
      </c>
      <c r="O32" t="s">
        <v>37</v>
      </c>
      <c r="P32" s="9">
        <v>785337</v>
      </c>
      <c r="Q32" s="9">
        <v>375</v>
      </c>
      <c r="S32" s="9">
        <f t="shared" si="7"/>
        <v>74</v>
      </c>
      <c r="T32" s="9">
        <f t="shared" si="8"/>
        <v>301</v>
      </c>
      <c r="V32" t="b">
        <f t="shared" si="9"/>
        <v>1</v>
      </c>
      <c r="W32" t="b">
        <f t="shared" si="10"/>
        <v>1</v>
      </c>
      <c r="X32" t="b">
        <f t="shared" si="11"/>
        <v>1</v>
      </c>
      <c r="Y32" t="b">
        <f t="shared" si="12"/>
        <v>1</v>
      </c>
    </row>
    <row r="33" spans="1:25" x14ac:dyDescent="0.3">
      <c r="A33" t="str">
        <f t="shared" si="0"/>
        <v>Master Model G10 Grizzly XL Relapse_TwoAge_B070.1JAGS_Female_2000</v>
      </c>
      <c r="B33" t="str">
        <f t="shared" si="1"/>
        <v>G10</v>
      </c>
      <c r="C33" t="str">
        <f t="shared" si="2"/>
        <v>TwoAge</v>
      </c>
      <c r="D33" t="str">
        <f t="shared" si="3"/>
        <v>B07</v>
      </c>
      <c r="E33" t="s">
        <v>32</v>
      </c>
      <c r="F33">
        <v>0.1</v>
      </c>
      <c r="G33" t="s">
        <v>60</v>
      </c>
      <c r="H33" s="9">
        <v>785116</v>
      </c>
      <c r="J33" t="str">
        <f t="shared" si="4"/>
        <v>G10</v>
      </c>
      <c r="K33" t="str">
        <f t="shared" si="5"/>
        <v>TwoAge</v>
      </c>
      <c r="L33" t="str">
        <f t="shared" si="6"/>
        <v>B07</v>
      </c>
      <c r="M33" t="s">
        <v>32</v>
      </c>
      <c r="N33">
        <v>0.1</v>
      </c>
      <c r="O33" t="s">
        <v>38</v>
      </c>
      <c r="P33" s="9">
        <v>785154</v>
      </c>
      <c r="Q33" s="9">
        <v>193</v>
      </c>
      <c r="S33" s="9">
        <f t="shared" si="7"/>
        <v>38</v>
      </c>
      <c r="T33" s="9">
        <f t="shared" si="8"/>
        <v>155</v>
      </c>
      <c r="V33" t="b">
        <f t="shared" si="9"/>
        <v>1</v>
      </c>
      <c r="W33" t="b">
        <f t="shared" si="10"/>
        <v>1</v>
      </c>
      <c r="X33" t="b">
        <f t="shared" si="11"/>
        <v>1</v>
      </c>
      <c r="Y33" t="b">
        <f t="shared" si="12"/>
        <v>1</v>
      </c>
    </row>
    <row r="34" spans="1:25" x14ac:dyDescent="0.3">
      <c r="A34" t="str">
        <f t="shared" si="0"/>
        <v>Master Model G10 Grizzly XL Relapse_TwoAge_B080.1JAGS_Female_2000</v>
      </c>
      <c r="B34" t="str">
        <f t="shared" si="1"/>
        <v>G10</v>
      </c>
      <c r="C34" t="str">
        <f t="shared" si="2"/>
        <v>TwoAge</v>
      </c>
      <c r="D34" t="str">
        <f t="shared" si="3"/>
        <v>B08</v>
      </c>
      <c r="E34" t="s">
        <v>32</v>
      </c>
      <c r="F34">
        <v>0.1</v>
      </c>
      <c r="G34" t="s">
        <v>61</v>
      </c>
      <c r="H34" s="9">
        <v>785018</v>
      </c>
      <c r="J34" t="str">
        <f t="shared" si="4"/>
        <v>G10</v>
      </c>
      <c r="K34" t="str">
        <f t="shared" si="5"/>
        <v>TwoAge</v>
      </c>
      <c r="L34" t="str">
        <f t="shared" si="6"/>
        <v>B08</v>
      </c>
      <c r="M34" t="s">
        <v>32</v>
      </c>
      <c r="N34">
        <v>0.1</v>
      </c>
      <c r="O34" t="s">
        <v>39</v>
      </c>
      <c r="P34" s="9">
        <v>785028</v>
      </c>
      <c r="Q34" s="9">
        <v>66</v>
      </c>
      <c r="S34" s="9">
        <f t="shared" si="7"/>
        <v>10</v>
      </c>
      <c r="T34" s="9">
        <f t="shared" si="8"/>
        <v>56</v>
      </c>
      <c r="V34" t="b">
        <f t="shared" si="9"/>
        <v>1</v>
      </c>
      <c r="W34" t="b">
        <f t="shared" si="10"/>
        <v>1</v>
      </c>
      <c r="X34" t="b">
        <f t="shared" si="11"/>
        <v>1</v>
      </c>
      <c r="Y34" t="b">
        <f t="shared" si="12"/>
        <v>1</v>
      </c>
    </row>
    <row r="35" spans="1:25" x14ac:dyDescent="0.3">
      <c r="A35" t="str">
        <f t="shared" si="0"/>
        <v>Master Model G10 Grizzly XL Relapse_TwoAge_B090.1JAGS_Female_2000</v>
      </c>
      <c r="B35" t="str">
        <f t="shared" si="1"/>
        <v>G10</v>
      </c>
      <c r="C35" t="str">
        <f t="shared" si="2"/>
        <v>TwoAge</v>
      </c>
      <c r="D35" t="str">
        <f t="shared" si="3"/>
        <v>B09</v>
      </c>
      <c r="E35" t="s">
        <v>32</v>
      </c>
      <c r="F35">
        <v>0.1</v>
      </c>
      <c r="G35" t="s">
        <v>62</v>
      </c>
      <c r="H35" s="9">
        <v>784974</v>
      </c>
      <c r="J35" t="str">
        <f t="shared" si="4"/>
        <v>G10</v>
      </c>
      <c r="K35" t="str">
        <f t="shared" si="5"/>
        <v>TwoAge</v>
      </c>
      <c r="L35" t="str">
        <f t="shared" si="6"/>
        <v>B09</v>
      </c>
      <c r="M35" t="s">
        <v>32</v>
      </c>
      <c r="N35">
        <v>0.1</v>
      </c>
      <c r="O35" t="s">
        <v>40</v>
      </c>
      <c r="P35" s="9">
        <v>784980</v>
      </c>
      <c r="Q35" s="9">
        <v>19</v>
      </c>
      <c r="S35" s="9">
        <f t="shared" si="7"/>
        <v>6</v>
      </c>
      <c r="T35" s="9">
        <f t="shared" si="8"/>
        <v>13</v>
      </c>
      <c r="V35" t="b">
        <f t="shared" si="9"/>
        <v>1</v>
      </c>
      <c r="W35" t="b">
        <f t="shared" si="10"/>
        <v>1</v>
      </c>
      <c r="X35" t="b">
        <f t="shared" si="11"/>
        <v>1</v>
      </c>
      <c r="Y35" t="b">
        <f t="shared" si="12"/>
        <v>1</v>
      </c>
    </row>
    <row r="36" spans="1:25" x14ac:dyDescent="0.3">
      <c r="A36" t="str">
        <f t="shared" si="0"/>
        <v>Master Model G10 Grizzly XL Relapse_TwoAge_B100.1JAGS_Female_2000</v>
      </c>
      <c r="B36" t="str">
        <f t="shared" si="1"/>
        <v>G10</v>
      </c>
      <c r="C36" t="str">
        <f t="shared" si="2"/>
        <v>TwoAge</v>
      </c>
      <c r="D36" t="str">
        <f t="shared" si="3"/>
        <v>B10</v>
      </c>
      <c r="E36" t="s">
        <v>32</v>
      </c>
      <c r="F36">
        <v>0.1</v>
      </c>
      <c r="G36" t="s">
        <v>63</v>
      </c>
      <c r="H36" s="9">
        <v>784966</v>
      </c>
      <c r="J36" t="str">
        <f t="shared" si="4"/>
        <v>G10</v>
      </c>
      <c r="K36" t="str">
        <f t="shared" si="5"/>
        <v>TwoAge</v>
      </c>
      <c r="L36" t="str">
        <f t="shared" si="6"/>
        <v>B10</v>
      </c>
      <c r="M36" t="s">
        <v>32</v>
      </c>
      <c r="N36">
        <v>0.1</v>
      </c>
      <c r="O36" t="s">
        <v>41</v>
      </c>
      <c r="P36" s="9">
        <v>784969</v>
      </c>
      <c r="Q36" s="9">
        <v>7</v>
      </c>
      <c r="S36" s="9">
        <f t="shared" si="7"/>
        <v>3</v>
      </c>
      <c r="T36" s="9">
        <f t="shared" si="8"/>
        <v>4</v>
      </c>
      <c r="V36" t="b">
        <f t="shared" si="9"/>
        <v>1</v>
      </c>
      <c r="W36" t="b">
        <f t="shared" si="10"/>
        <v>1</v>
      </c>
      <c r="X36" t="b">
        <f t="shared" si="11"/>
        <v>1</v>
      </c>
      <c r="Y36" t="b">
        <f t="shared" si="12"/>
        <v>1</v>
      </c>
    </row>
    <row r="37" spans="1:25" x14ac:dyDescent="0.3">
      <c r="A37" t="str">
        <f t="shared" ref="A37:A68" si="13">G37&amp;F37&amp;E37</f>
        <v>Master Model G10 Grizzly XL Relapse_TwoAge_B110.1JAGS_Female_2000</v>
      </c>
      <c r="B37" t="str">
        <f t="shared" ref="B37:B68" si="14">IF(ISNUMBER(SEARCH("G10",G37)),"G10","G25")</f>
        <v>G10</v>
      </c>
      <c r="C37" t="str">
        <f t="shared" ref="C37:C68" si="15">IF(ISNUMBER(SEARCH("AllAge",G37)),"AllAge","TwoAge")</f>
        <v>TwoAge</v>
      </c>
      <c r="D37" t="str">
        <f t="shared" ref="D37:D68" si="16">RIGHT(G37,3)</f>
        <v>B11</v>
      </c>
      <c r="E37" t="s">
        <v>32</v>
      </c>
      <c r="F37">
        <v>0.1</v>
      </c>
      <c r="G37" t="s">
        <v>64</v>
      </c>
      <c r="H37" s="9">
        <v>784963</v>
      </c>
      <c r="J37" t="str">
        <f t="shared" ref="J37:J68" si="17">IF(ISNUMBER(SEARCH("G10",O37)),"G10","G25")</f>
        <v>G10</v>
      </c>
      <c r="K37" t="str">
        <f t="shared" ref="K37:K68" si="18">IF(ISNUMBER(SEARCH("AllAge",O37)),"AllAge","TwoAge")</f>
        <v>TwoAge</v>
      </c>
      <c r="L37" t="str">
        <f t="shared" ref="L37:L68" si="19">RIGHT(O37,3)</f>
        <v>B11</v>
      </c>
      <c r="M37" t="s">
        <v>32</v>
      </c>
      <c r="N37">
        <v>0.1</v>
      </c>
      <c r="O37" t="s">
        <v>42</v>
      </c>
      <c r="P37" s="9">
        <v>784963</v>
      </c>
      <c r="Q37" s="9">
        <v>2</v>
      </c>
      <c r="S37" s="9">
        <f t="shared" ref="S37:S68" si="20">ROUND(P37-H37,0)</f>
        <v>0</v>
      </c>
      <c r="T37" s="9">
        <f t="shared" ref="T37:T68" si="21">ROUND(Q37-S37,0)</f>
        <v>2</v>
      </c>
      <c r="V37" t="b">
        <f t="shared" ref="V37:V68" si="22">EXACT(B37,J37)</f>
        <v>1</v>
      </c>
      <c r="W37" t="b">
        <f t="shared" ref="W37:W68" si="23">EXACT(C37,K37)</f>
        <v>1</v>
      </c>
      <c r="X37" t="b">
        <f t="shared" ref="X37:X68" si="24">EXACT(D37,L37)</f>
        <v>1</v>
      </c>
      <c r="Y37" t="b">
        <f t="shared" ref="Y37:Y68" si="25">EXACT(E37,M37)</f>
        <v>1</v>
      </c>
    </row>
    <row r="38" spans="1:25" x14ac:dyDescent="0.3">
      <c r="A38" t="str">
        <f t="shared" si="13"/>
        <v>Master Model G25 Grizzly XL Relapse_TwoAge_B010.1JAGS_Female_2000</v>
      </c>
      <c r="B38" t="str">
        <f t="shared" si="14"/>
        <v>G25</v>
      </c>
      <c r="C38" t="str">
        <f t="shared" si="15"/>
        <v>TwoAge</v>
      </c>
      <c r="D38" t="str">
        <f t="shared" si="16"/>
        <v>B01</v>
      </c>
      <c r="E38" t="s">
        <v>32</v>
      </c>
      <c r="F38">
        <v>0.1</v>
      </c>
      <c r="G38" t="s">
        <v>65</v>
      </c>
      <c r="H38" s="9">
        <v>786271</v>
      </c>
      <c r="J38" t="str">
        <f t="shared" si="17"/>
        <v>G25</v>
      </c>
      <c r="K38" t="str">
        <f t="shared" si="18"/>
        <v>TwoAge</v>
      </c>
      <c r="L38" t="str">
        <f t="shared" si="19"/>
        <v>B01</v>
      </c>
      <c r="M38" t="s">
        <v>32</v>
      </c>
      <c r="N38">
        <v>0.1</v>
      </c>
      <c r="O38" t="s">
        <v>43</v>
      </c>
      <c r="P38" s="9">
        <v>786423</v>
      </c>
      <c r="Q38" s="9">
        <v>1462</v>
      </c>
      <c r="S38" s="9">
        <f t="shared" si="20"/>
        <v>152</v>
      </c>
      <c r="T38" s="9">
        <f t="shared" si="21"/>
        <v>1310</v>
      </c>
      <c r="V38" t="b">
        <f t="shared" si="22"/>
        <v>1</v>
      </c>
      <c r="W38" t="b">
        <f t="shared" si="23"/>
        <v>1</v>
      </c>
      <c r="X38" t="b">
        <f t="shared" si="24"/>
        <v>1</v>
      </c>
      <c r="Y38" t="b">
        <f t="shared" si="25"/>
        <v>1</v>
      </c>
    </row>
    <row r="39" spans="1:25" x14ac:dyDescent="0.3">
      <c r="A39" t="str">
        <f t="shared" si="13"/>
        <v>Master Model G25 Grizzly XL Relapse_TwoAge_B020.1JAGS_Female_2000</v>
      </c>
      <c r="B39" t="str">
        <f t="shared" si="14"/>
        <v>G25</v>
      </c>
      <c r="C39" t="str">
        <f t="shared" si="15"/>
        <v>TwoAge</v>
      </c>
      <c r="D39" t="str">
        <f t="shared" si="16"/>
        <v>B02</v>
      </c>
      <c r="E39" t="s">
        <v>32</v>
      </c>
      <c r="F39">
        <v>0.1</v>
      </c>
      <c r="G39" t="s">
        <v>66</v>
      </c>
      <c r="H39" s="9">
        <v>786190</v>
      </c>
      <c r="J39" t="str">
        <f t="shared" si="17"/>
        <v>G25</v>
      </c>
      <c r="K39" t="str">
        <f t="shared" si="18"/>
        <v>TwoAge</v>
      </c>
      <c r="L39" t="str">
        <f t="shared" si="19"/>
        <v>B02</v>
      </c>
      <c r="M39" t="s">
        <v>32</v>
      </c>
      <c r="N39">
        <v>0.1</v>
      </c>
      <c r="O39" t="s">
        <v>44</v>
      </c>
      <c r="P39" s="9">
        <v>786347</v>
      </c>
      <c r="Q39" s="9">
        <v>1386</v>
      </c>
      <c r="S39" s="9">
        <f t="shared" si="20"/>
        <v>157</v>
      </c>
      <c r="T39" s="9">
        <f t="shared" si="21"/>
        <v>1229</v>
      </c>
      <c r="V39" t="b">
        <f t="shared" si="22"/>
        <v>1</v>
      </c>
      <c r="W39" t="b">
        <f t="shared" si="23"/>
        <v>1</v>
      </c>
      <c r="X39" t="b">
        <f t="shared" si="24"/>
        <v>1</v>
      </c>
      <c r="Y39" t="b">
        <f t="shared" si="25"/>
        <v>1</v>
      </c>
    </row>
    <row r="40" spans="1:25" x14ac:dyDescent="0.3">
      <c r="A40" t="str">
        <f t="shared" si="13"/>
        <v>Master Model G25 Grizzly XL Relapse_TwoAge_B030.1JAGS_Female_2000</v>
      </c>
      <c r="B40" t="str">
        <f t="shared" si="14"/>
        <v>G25</v>
      </c>
      <c r="C40" t="str">
        <f t="shared" si="15"/>
        <v>TwoAge</v>
      </c>
      <c r="D40" t="str">
        <f t="shared" si="16"/>
        <v>B03</v>
      </c>
      <c r="E40" t="s">
        <v>32</v>
      </c>
      <c r="F40">
        <v>0.1</v>
      </c>
      <c r="G40" t="s">
        <v>67</v>
      </c>
      <c r="H40" s="9">
        <v>785790</v>
      </c>
      <c r="J40" t="str">
        <f t="shared" si="17"/>
        <v>G25</v>
      </c>
      <c r="K40" t="str">
        <f t="shared" si="18"/>
        <v>TwoAge</v>
      </c>
      <c r="L40" t="str">
        <f t="shared" si="19"/>
        <v>B03</v>
      </c>
      <c r="M40" t="s">
        <v>32</v>
      </c>
      <c r="N40">
        <v>0.1</v>
      </c>
      <c r="O40" t="s">
        <v>45</v>
      </c>
      <c r="P40" s="9">
        <v>785955</v>
      </c>
      <c r="Q40" s="9">
        <v>994</v>
      </c>
      <c r="S40" s="9">
        <f t="shared" si="20"/>
        <v>165</v>
      </c>
      <c r="T40" s="9">
        <f t="shared" si="21"/>
        <v>829</v>
      </c>
      <c r="V40" t="b">
        <f t="shared" si="22"/>
        <v>1</v>
      </c>
      <c r="W40" t="b">
        <f t="shared" si="23"/>
        <v>1</v>
      </c>
      <c r="X40" t="b">
        <f t="shared" si="24"/>
        <v>1</v>
      </c>
      <c r="Y40" t="b">
        <f t="shared" si="25"/>
        <v>1</v>
      </c>
    </row>
    <row r="41" spans="1:25" x14ac:dyDescent="0.3">
      <c r="A41" t="str">
        <f t="shared" si="13"/>
        <v>Master Model G25 Grizzly XL Relapse_TwoAge_B040.1JAGS_Female_2000</v>
      </c>
      <c r="B41" t="str">
        <f t="shared" si="14"/>
        <v>G25</v>
      </c>
      <c r="C41" t="str">
        <f t="shared" si="15"/>
        <v>TwoAge</v>
      </c>
      <c r="D41" t="str">
        <f t="shared" si="16"/>
        <v>B04</v>
      </c>
      <c r="E41" t="s">
        <v>32</v>
      </c>
      <c r="F41">
        <v>0.1</v>
      </c>
      <c r="G41" t="s">
        <v>68</v>
      </c>
      <c r="H41" s="9">
        <v>785586</v>
      </c>
      <c r="J41" t="str">
        <f t="shared" si="17"/>
        <v>G25</v>
      </c>
      <c r="K41" t="str">
        <f t="shared" si="18"/>
        <v>TwoAge</v>
      </c>
      <c r="L41" t="str">
        <f t="shared" si="19"/>
        <v>B04</v>
      </c>
      <c r="M41" t="s">
        <v>32</v>
      </c>
      <c r="N41">
        <v>0.1</v>
      </c>
      <c r="O41" t="s">
        <v>46</v>
      </c>
      <c r="P41" s="9">
        <v>785733</v>
      </c>
      <c r="Q41" s="9">
        <v>772</v>
      </c>
      <c r="S41" s="9">
        <f t="shared" si="20"/>
        <v>147</v>
      </c>
      <c r="T41" s="9">
        <f t="shared" si="21"/>
        <v>625</v>
      </c>
      <c r="V41" t="b">
        <f t="shared" si="22"/>
        <v>1</v>
      </c>
      <c r="W41" t="b">
        <f t="shared" si="23"/>
        <v>1</v>
      </c>
      <c r="X41" t="b">
        <f t="shared" si="24"/>
        <v>1</v>
      </c>
      <c r="Y41" t="b">
        <f t="shared" si="25"/>
        <v>1</v>
      </c>
    </row>
    <row r="42" spans="1:25" x14ac:dyDescent="0.3">
      <c r="A42" t="str">
        <f t="shared" si="13"/>
        <v>Master Model G25 Grizzly XL Relapse_TwoAge_B050.1JAGS_Female_2000</v>
      </c>
      <c r="B42" t="str">
        <f t="shared" si="14"/>
        <v>G25</v>
      </c>
      <c r="C42" t="str">
        <f t="shared" si="15"/>
        <v>TwoAge</v>
      </c>
      <c r="D42" t="str">
        <f t="shared" si="16"/>
        <v>B05</v>
      </c>
      <c r="E42" t="s">
        <v>32</v>
      </c>
      <c r="F42">
        <v>0.1</v>
      </c>
      <c r="G42" t="s">
        <v>69</v>
      </c>
      <c r="H42" s="9">
        <v>785409</v>
      </c>
      <c r="J42" t="str">
        <f t="shared" si="17"/>
        <v>G25</v>
      </c>
      <c r="K42" t="str">
        <f t="shared" si="18"/>
        <v>TwoAge</v>
      </c>
      <c r="L42" t="str">
        <f t="shared" si="19"/>
        <v>B05</v>
      </c>
      <c r="M42" t="s">
        <v>32</v>
      </c>
      <c r="N42">
        <v>0.1</v>
      </c>
      <c r="O42" t="s">
        <v>47</v>
      </c>
      <c r="P42" s="9">
        <v>785504</v>
      </c>
      <c r="Q42" s="9">
        <v>542</v>
      </c>
      <c r="S42" s="9">
        <f t="shared" si="20"/>
        <v>95</v>
      </c>
      <c r="T42" s="9">
        <f t="shared" si="21"/>
        <v>447</v>
      </c>
      <c r="V42" t="b">
        <f t="shared" si="22"/>
        <v>1</v>
      </c>
      <c r="W42" t="b">
        <f t="shared" si="23"/>
        <v>1</v>
      </c>
      <c r="X42" t="b">
        <f t="shared" si="24"/>
        <v>1</v>
      </c>
      <c r="Y42" t="b">
        <f t="shared" si="25"/>
        <v>1</v>
      </c>
    </row>
    <row r="43" spans="1:25" x14ac:dyDescent="0.3">
      <c r="A43" t="str">
        <f t="shared" si="13"/>
        <v>Master Model G25 Grizzly XL Relapse_TwoAge_B060.1JAGS_Female_2000</v>
      </c>
      <c r="B43" t="str">
        <f t="shared" si="14"/>
        <v>G25</v>
      </c>
      <c r="C43" t="str">
        <f t="shared" si="15"/>
        <v>TwoAge</v>
      </c>
      <c r="D43" t="str">
        <f t="shared" si="16"/>
        <v>B06</v>
      </c>
      <c r="E43" t="s">
        <v>32</v>
      </c>
      <c r="F43">
        <v>0.1</v>
      </c>
      <c r="G43" t="s">
        <v>70</v>
      </c>
      <c r="H43" s="9">
        <v>785263</v>
      </c>
      <c r="J43" t="str">
        <f t="shared" si="17"/>
        <v>G25</v>
      </c>
      <c r="K43" t="str">
        <f t="shared" si="18"/>
        <v>TwoAge</v>
      </c>
      <c r="L43" t="str">
        <f t="shared" si="19"/>
        <v>B06</v>
      </c>
      <c r="M43" t="s">
        <v>32</v>
      </c>
      <c r="N43">
        <v>0.1</v>
      </c>
      <c r="O43" t="s">
        <v>48</v>
      </c>
      <c r="P43" s="9">
        <v>785337</v>
      </c>
      <c r="Q43" s="9">
        <v>375</v>
      </c>
      <c r="S43" s="9">
        <f t="shared" si="20"/>
        <v>74</v>
      </c>
      <c r="T43" s="9">
        <f t="shared" si="21"/>
        <v>301</v>
      </c>
      <c r="V43" t="b">
        <f t="shared" si="22"/>
        <v>1</v>
      </c>
      <c r="W43" t="b">
        <f t="shared" si="23"/>
        <v>1</v>
      </c>
      <c r="X43" t="b">
        <f t="shared" si="24"/>
        <v>1</v>
      </c>
      <c r="Y43" t="b">
        <f t="shared" si="25"/>
        <v>1</v>
      </c>
    </row>
    <row r="44" spans="1:25" x14ac:dyDescent="0.3">
      <c r="A44" t="str">
        <f t="shared" si="13"/>
        <v>Master Model G25 Grizzly XL Relapse_TwoAge_B070.1JAGS_Female_2000</v>
      </c>
      <c r="B44" t="str">
        <f t="shared" si="14"/>
        <v>G25</v>
      </c>
      <c r="C44" t="str">
        <f t="shared" si="15"/>
        <v>TwoAge</v>
      </c>
      <c r="D44" t="str">
        <f t="shared" si="16"/>
        <v>B07</v>
      </c>
      <c r="E44" t="s">
        <v>32</v>
      </c>
      <c r="F44">
        <v>0.1</v>
      </c>
      <c r="G44" t="s">
        <v>71</v>
      </c>
      <c r="H44" s="9">
        <v>785116</v>
      </c>
      <c r="J44" t="str">
        <f t="shared" si="17"/>
        <v>G25</v>
      </c>
      <c r="K44" t="str">
        <f t="shared" si="18"/>
        <v>TwoAge</v>
      </c>
      <c r="L44" t="str">
        <f t="shared" si="19"/>
        <v>B07</v>
      </c>
      <c r="M44" t="s">
        <v>32</v>
      </c>
      <c r="N44">
        <v>0.1</v>
      </c>
      <c r="O44" t="s">
        <v>49</v>
      </c>
      <c r="P44" s="9">
        <v>785154</v>
      </c>
      <c r="Q44" s="9">
        <v>193</v>
      </c>
      <c r="S44" s="9">
        <f t="shared" si="20"/>
        <v>38</v>
      </c>
      <c r="T44" s="9">
        <f t="shared" si="21"/>
        <v>155</v>
      </c>
      <c r="V44" t="b">
        <f t="shared" si="22"/>
        <v>1</v>
      </c>
      <c r="W44" t="b">
        <f t="shared" si="23"/>
        <v>1</v>
      </c>
      <c r="X44" t="b">
        <f t="shared" si="24"/>
        <v>1</v>
      </c>
      <c r="Y44" t="b">
        <f t="shared" si="25"/>
        <v>1</v>
      </c>
    </row>
    <row r="45" spans="1:25" x14ac:dyDescent="0.3">
      <c r="A45" t="str">
        <f t="shared" si="13"/>
        <v>Master Model G25 Grizzly XL Relapse_TwoAge_B080.1JAGS_Female_2000</v>
      </c>
      <c r="B45" t="str">
        <f t="shared" si="14"/>
        <v>G25</v>
      </c>
      <c r="C45" t="str">
        <f t="shared" si="15"/>
        <v>TwoAge</v>
      </c>
      <c r="D45" t="str">
        <f t="shared" si="16"/>
        <v>B08</v>
      </c>
      <c r="E45" t="s">
        <v>32</v>
      </c>
      <c r="F45">
        <v>0.1</v>
      </c>
      <c r="G45" t="s">
        <v>72</v>
      </c>
      <c r="H45" s="9">
        <v>785018</v>
      </c>
      <c r="J45" t="str">
        <f t="shared" si="17"/>
        <v>G25</v>
      </c>
      <c r="K45" t="str">
        <f t="shared" si="18"/>
        <v>TwoAge</v>
      </c>
      <c r="L45" t="str">
        <f t="shared" si="19"/>
        <v>B08</v>
      </c>
      <c r="M45" t="s">
        <v>32</v>
      </c>
      <c r="N45">
        <v>0.1</v>
      </c>
      <c r="O45" t="s">
        <v>50</v>
      </c>
      <c r="P45" s="9">
        <v>785028</v>
      </c>
      <c r="Q45" s="9">
        <v>66</v>
      </c>
      <c r="S45" s="9">
        <f t="shared" si="20"/>
        <v>10</v>
      </c>
      <c r="T45" s="9">
        <f t="shared" si="21"/>
        <v>56</v>
      </c>
      <c r="V45" t="b">
        <f t="shared" si="22"/>
        <v>1</v>
      </c>
      <c r="W45" t="b">
        <f t="shared" si="23"/>
        <v>1</v>
      </c>
      <c r="X45" t="b">
        <f t="shared" si="24"/>
        <v>1</v>
      </c>
      <c r="Y45" t="b">
        <f t="shared" si="25"/>
        <v>1</v>
      </c>
    </row>
    <row r="46" spans="1:25" x14ac:dyDescent="0.3">
      <c r="A46" t="str">
        <f t="shared" si="13"/>
        <v>Master Model G25 Grizzly XL Relapse_TwoAge_B090.1JAGS_Female_2000</v>
      </c>
      <c r="B46" t="str">
        <f t="shared" si="14"/>
        <v>G25</v>
      </c>
      <c r="C46" t="str">
        <f t="shared" si="15"/>
        <v>TwoAge</v>
      </c>
      <c r="D46" t="str">
        <f t="shared" si="16"/>
        <v>B09</v>
      </c>
      <c r="E46" t="s">
        <v>32</v>
      </c>
      <c r="F46">
        <v>0.1</v>
      </c>
      <c r="G46" t="s">
        <v>73</v>
      </c>
      <c r="H46" s="9">
        <v>784974</v>
      </c>
      <c r="J46" t="str">
        <f t="shared" si="17"/>
        <v>G25</v>
      </c>
      <c r="K46" t="str">
        <f t="shared" si="18"/>
        <v>TwoAge</v>
      </c>
      <c r="L46" t="str">
        <f t="shared" si="19"/>
        <v>B09</v>
      </c>
      <c r="M46" t="s">
        <v>32</v>
      </c>
      <c r="N46">
        <v>0.1</v>
      </c>
      <c r="O46" t="s">
        <v>51</v>
      </c>
      <c r="P46" s="9">
        <v>784980</v>
      </c>
      <c r="Q46" s="9">
        <v>19</v>
      </c>
      <c r="S46" s="9">
        <f t="shared" si="20"/>
        <v>6</v>
      </c>
      <c r="T46" s="9">
        <f t="shared" si="21"/>
        <v>13</v>
      </c>
      <c r="V46" t="b">
        <f t="shared" si="22"/>
        <v>1</v>
      </c>
      <c r="W46" t="b">
        <f t="shared" si="23"/>
        <v>1</v>
      </c>
      <c r="X46" t="b">
        <f t="shared" si="24"/>
        <v>1</v>
      </c>
      <c r="Y46" t="b">
        <f t="shared" si="25"/>
        <v>1</v>
      </c>
    </row>
    <row r="47" spans="1:25" x14ac:dyDescent="0.3">
      <c r="A47" t="str">
        <f t="shared" si="13"/>
        <v>Master Model G25 Grizzly XL Relapse_TwoAge_B100.1JAGS_Female_2000</v>
      </c>
      <c r="B47" t="str">
        <f t="shared" si="14"/>
        <v>G25</v>
      </c>
      <c r="C47" t="str">
        <f t="shared" si="15"/>
        <v>TwoAge</v>
      </c>
      <c r="D47" t="str">
        <f t="shared" si="16"/>
        <v>B10</v>
      </c>
      <c r="E47" t="s">
        <v>32</v>
      </c>
      <c r="F47">
        <v>0.1</v>
      </c>
      <c r="G47" t="s">
        <v>74</v>
      </c>
      <c r="H47" s="9">
        <v>784966</v>
      </c>
      <c r="J47" t="str">
        <f t="shared" si="17"/>
        <v>G25</v>
      </c>
      <c r="K47" t="str">
        <f t="shared" si="18"/>
        <v>TwoAge</v>
      </c>
      <c r="L47" t="str">
        <f t="shared" si="19"/>
        <v>B10</v>
      </c>
      <c r="M47" t="s">
        <v>32</v>
      </c>
      <c r="N47">
        <v>0.1</v>
      </c>
      <c r="O47" t="s">
        <v>52</v>
      </c>
      <c r="P47" s="9">
        <v>784969</v>
      </c>
      <c r="Q47" s="9">
        <v>7</v>
      </c>
      <c r="S47" s="9">
        <f t="shared" si="20"/>
        <v>3</v>
      </c>
      <c r="T47" s="9">
        <f t="shared" si="21"/>
        <v>4</v>
      </c>
      <c r="V47" t="b">
        <f t="shared" si="22"/>
        <v>1</v>
      </c>
      <c r="W47" t="b">
        <f t="shared" si="23"/>
        <v>1</v>
      </c>
      <c r="X47" t="b">
        <f t="shared" si="24"/>
        <v>1</v>
      </c>
      <c r="Y47" t="b">
        <f t="shared" si="25"/>
        <v>1</v>
      </c>
    </row>
    <row r="48" spans="1:25" x14ac:dyDescent="0.3">
      <c r="A48" t="str">
        <f t="shared" si="13"/>
        <v>Master Model G25 Grizzly XL Relapse_TwoAge_B110.1JAGS_Female_2000</v>
      </c>
      <c r="B48" t="str">
        <f t="shared" si="14"/>
        <v>G25</v>
      </c>
      <c r="C48" t="str">
        <f t="shared" si="15"/>
        <v>TwoAge</v>
      </c>
      <c r="D48" t="str">
        <f t="shared" si="16"/>
        <v>B11</v>
      </c>
      <c r="E48" t="s">
        <v>32</v>
      </c>
      <c r="F48">
        <v>0.1</v>
      </c>
      <c r="G48" t="s">
        <v>75</v>
      </c>
      <c r="H48" s="9">
        <v>784963</v>
      </c>
      <c r="J48" t="str">
        <f t="shared" si="17"/>
        <v>G25</v>
      </c>
      <c r="K48" t="str">
        <f t="shared" si="18"/>
        <v>TwoAge</v>
      </c>
      <c r="L48" t="str">
        <f t="shared" si="19"/>
        <v>B11</v>
      </c>
      <c r="M48" t="s">
        <v>32</v>
      </c>
      <c r="N48">
        <v>0.1</v>
      </c>
      <c r="O48" t="s">
        <v>53</v>
      </c>
      <c r="P48" s="9">
        <v>784963</v>
      </c>
      <c r="Q48" s="9">
        <v>2</v>
      </c>
      <c r="S48" s="9">
        <f t="shared" si="20"/>
        <v>0</v>
      </c>
      <c r="T48" s="9">
        <f t="shared" si="21"/>
        <v>2</v>
      </c>
      <c r="V48" t="b">
        <f t="shared" si="22"/>
        <v>1</v>
      </c>
      <c r="W48" t="b">
        <f t="shared" si="23"/>
        <v>1</v>
      </c>
      <c r="X48" t="b">
        <f t="shared" si="24"/>
        <v>1</v>
      </c>
      <c r="Y48" t="b">
        <f t="shared" si="25"/>
        <v>1</v>
      </c>
    </row>
    <row r="49" spans="1:25" x14ac:dyDescent="0.3">
      <c r="A49" t="str">
        <f t="shared" si="13"/>
        <v>Master Model G10 Grizzly XL Relapse_TwoAge_B010.05JAGS_Male_2000</v>
      </c>
      <c r="B49" t="str">
        <f t="shared" si="14"/>
        <v>G10</v>
      </c>
      <c r="C49" t="str">
        <f t="shared" si="15"/>
        <v>TwoAge</v>
      </c>
      <c r="D49" t="str">
        <f t="shared" si="16"/>
        <v>B01</v>
      </c>
      <c r="E49" t="s">
        <v>23</v>
      </c>
      <c r="F49">
        <v>0.05</v>
      </c>
      <c r="G49" t="s">
        <v>54</v>
      </c>
      <c r="H49" s="9">
        <v>681237</v>
      </c>
      <c r="J49" t="str">
        <f t="shared" si="17"/>
        <v>G10</v>
      </c>
      <c r="K49" t="str">
        <f t="shared" si="18"/>
        <v>TwoAge</v>
      </c>
      <c r="L49" t="str">
        <f t="shared" si="19"/>
        <v>B01</v>
      </c>
      <c r="M49" t="s">
        <v>23</v>
      </c>
      <c r="N49">
        <v>0.05</v>
      </c>
      <c r="O49" t="s">
        <v>22</v>
      </c>
      <c r="P49" s="9">
        <v>681444</v>
      </c>
      <c r="Q49" s="9">
        <v>2679</v>
      </c>
      <c r="S49" s="9">
        <f t="shared" si="20"/>
        <v>207</v>
      </c>
      <c r="T49" s="9">
        <f t="shared" si="21"/>
        <v>2472</v>
      </c>
      <c r="V49" t="b">
        <f t="shared" si="22"/>
        <v>1</v>
      </c>
      <c r="W49" t="b">
        <f t="shared" si="23"/>
        <v>1</v>
      </c>
      <c r="X49" t="b">
        <f t="shared" si="24"/>
        <v>1</v>
      </c>
      <c r="Y49" t="b">
        <f t="shared" si="25"/>
        <v>1</v>
      </c>
    </row>
    <row r="50" spans="1:25" x14ac:dyDescent="0.3">
      <c r="A50" t="str">
        <f t="shared" si="13"/>
        <v>Master Model G10 Grizzly XL Relapse_TwoAge_B020.05JAGS_Male_2000</v>
      </c>
      <c r="B50" t="str">
        <f t="shared" si="14"/>
        <v>G10</v>
      </c>
      <c r="C50" t="str">
        <f t="shared" si="15"/>
        <v>TwoAge</v>
      </c>
      <c r="D50" t="str">
        <f t="shared" si="16"/>
        <v>B02</v>
      </c>
      <c r="E50" t="s">
        <v>23</v>
      </c>
      <c r="F50">
        <v>0.05</v>
      </c>
      <c r="G50" t="s">
        <v>55</v>
      </c>
      <c r="H50" s="9">
        <v>680946</v>
      </c>
      <c r="J50" t="str">
        <f t="shared" si="17"/>
        <v>G10</v>
      </c>
      <c r="K50" t="str">
        <f t="shared" si="18"/>
        <v>TwoAge</v>
      </c>
      <c r="L50" t="str">
        <f t="shared" si="19"/>
        <v>B02</v>
      </c>
      <c r="M50" t="s">
        <v>23</v>
      </c>
      <c r="N50">
        <v>0.05</v>
      </c>
      <c r="O50" t="s">
        <v>33</v>
      </c>
      <c r="P50" s="9">
        <v>681158</v>
      </c>
      <c r="Q50" s="9">
        <v>2392</v>
      </c>
      <c r="S50" s="9">
        <f t="shared" si="20"/>
        <v>212</v>
      </c>
      <c r="T50" s="9">
        <f t="shared" si="21"/>
        <v>2180</v>
      </c>
      <c r="V50" t="b">
        <f t="shared" si="22"/>
        <v>1</v>
      </c>
      <c r="W50" t="b">
        <f t="shared" si="23"/>
        <v>1</v>
      </c>
      <c r="X50" t="b">
        <f t="shared" si="24"/>
        <v>1</v>
      </c>
      <c r="Y50" t="b">
        <f t="shared" si="25"/>
        <v>1</v>
      </c>
    </row>
    <row r="51" spans="1:25" x14ac:dyDescent="0.3">
      <c r="A51" t="str">
        <f t="shared" si="13"/>
        <v>Master Model G10 Grizzly XL Relapse_TwoAge_B030.05JAGS_Male_2000</v>
      </c>
      <c r="B51" t="str">
        <f t="shared" si="14"/>
        <v>G10</v>
      </c>
      <c r="C51" t="str">
        <f t="shared" si="15"/>
        <v>TwoAge</v>
      </c>
      <c r="D51" t="str">
        <f t="shared" si="16"/>
        <v>B03</v>
      </c>
      <c r="E51" t="s">
        <v>23</v>
      </c>
      <c r="F51">
        <v>0.05</v>
      </c>
      <c r="G51" t="s">
        <v>56</v>
      </c>
      <c r="H51" s="9">
        <v>680131</v>
      </c>
      <c r="J51" t="str">
        <f t="shared" si="17"/>
        <v>G10</v>
      </c>
      <c r="K51" t="str">
        <f t="shared" si="18"/>
        <v>TwoAge</v>
      </c>
      <c r="L51" t="str">
        <f t="shared" si="19"/>
        <v>B03</v>
      </c>
      <c r="M51" t="s">
        <v>23</v>
      </c>
      <c r="N51">
        <v>0.05</v>
      </c>
      <c r="O51" t="s">
        <v>34</v>
      </c>
      <c r="P51" s="9">
        <v>680355</v>
      </c>
      <c r="Q51" s="9">
        <v>1590</v>
      </c>
      <c r="S51" s="9">
        <f t="shared" si="20"/>
        <v>224</v>
      </c>
      <c r="T51" s="9">
        <f t="shared" si="21"/>
        <v>1366</v>
      </c>
      <c r="V51" t="b">
        <f t="shared" si="22"/>
        <v>1</v>
      </c>
      <c r="W51" t="b">
        <f t="shared" si="23"/>
        <v>1</v>
      </c>
      <c r="X51" t="b">
        <f t="shared" si="24"/>
        <v>1</v>
      </c>
      <c r="Y51" t="b">
        <f t="shared" si="25"/>
        <v>1</v>
      </c>
    </row>
    <row r="52" spans="1:25" x14ac:dyDescent="0.3">
      <c r="A52" t="str">
        <f t="shared" si="13"/>
        <v>Master Model G10 Grizzly XL Relapse_TwoAge_B040.05JAGS_Male_2000</v>
      </c>
      <c r="B52" t="str">
        <f t="shared" si="14"/>
        <v>G10</v>
      </c>
      <c r="C52" t="str">
        <f t="shared" si="15"/>
        <v>TwoAge</v>
      </c>
      <c r="D52" t="str">
        <f t="shared" si="16"/>
        <v>B04</v>
      </c>
      <c r="E52" t="s">
        <v>23</v>
      </c>
      <c r="F52">
        <v>0.05</v>
      </c>
      <c r="G52" t="s">
        <v>57</v>
      </c>
      <c r="H52" s="9">
        <v>679623</v>
      </c>
      <c r="J52" t="str">
        <f t="shared" si="17"/>
        <v>G10</v>
      </c>
      <c r="K52" t="str">
        <f t="shared" si="18"/>
        <v>TwoAge</v>
      </c>
      <c r="L52" t="str">
        <f t="shared" si="19"/>
        <v>B04</v>
      </c>
      <c r="M52" t="s">
        <v>23</v>
      </c>
      <c r="N52">
        <v>0.05</v>
      </c>
      <c r="O52" t="s">
        <v>35</v>
      </c>
      <c r="P52" s="9">
        <v>679817</v>
      </c>
      <c r="Q52" s="9">
        <v>1052</v>
      </c>
      <c r="S52" s="9">
        <f t="shared" si="20"/>
        <v>194</v>
      </c>
      <c r="T52" s="9">
        <f t="shared" si="21"/>
        <v>858</v>
      </c>
      <c r="V52" t="b">
        <f t="shared" si="22"/>
        <v>1</v>
      </c>
      <c r="W52" t="b">
        <f t="shared" si="23"/>
        <v>1</v>
      </c>
      <c r="X52" t="b">
        <f t="shared" si="24"/>
        <v>1</v>
      </c>
      <c r="Y52" t="b">
        <f t="shared" si="25"/>
        <v>1</v>
      </c>
    </row>
    <row r="53" spans="1:25" x14ac:dyDescent="0.3">
      <c r="A53" t="str">
        <f t="shared" si="13"/>
        <v>Master Model G10 Grizzly XL Relapse_TwoAge_B050.05JAGS_Male_2000</v>
      </c>
      <c r="B53" t="str">
        <f t="shared" si="14"/>
        <v>G10</v>
      </c>
      <c r="C53" t="str">
        <f t="shared" si="15"/>
        <v>TwoAge</v>
      </c>
      <c r="D53" t="str">
        <f t="shared" si="16"/>
        <v>B05</v>
      </c>
      <c r="E53" t="s">
        <v>23</v>
      </c>
      <c r="F53">
        <v>0.05</v>
      </c>
      <c r="G53" t="s">
        <v>58</v>
      </c>
      <c r="H53" s="9">
        <v>679360</v>
      </c>
      <c r="J53" t="str">
        <f t="shared" si="17"/>
        <v>G10</v>
      </c>
      <c r="K53" t="str">
        <f t="shared" si="18"/>
        <v>TwoAge</v>
      </c>
      <c r="L53" t="str">
        <f t="shared" si="19"/>
        <v>B05</v>
      </c>
      <c r="M53" t="s">
        <v>23</v>
      </c>
      <c r="N53">
        <v>0.05</v>
      </c>
      <c r="O53" t="s">
        <v>36</v>
      </c>
      <c r="P53" s="9">
        <v>679482</v>
      </c>
      <c r="Q53" s="9">
        <v>716</v>
      </c>
      <c r="S53" s="9">
        <f t="shared" si="20"/>
        <v>122</v>
      </c>
      <c r="T53" s="9">
        <f t="shared" si="21"/>
        <v>594</v>
      </c>
      <c r="V53" t="b">
        <f t="shared" si="22"/>
        <v>1</v>
      </c>
      <c r="W53" t="b">
        <f t="shared" si="23"/>
        <v>1</v>
      </c>
      <c r="X53" t="b">
        <f t="shared" si="24"/>
        <v>1</v>
      </c>
      <c r="Y53" t="b">
        <f t="shared" si="25"/>
        <v>1</v>
      </c>
    </row>
    <row r="54" spans="1:25" x14ac:dyDescent="0.3">
      <c r="A54" t="str">
        <f t="shared" si="13"/>
        <v>Master Model G10 Grizzly XL Relapse_TwoAge_B060.05JAGS_Male_2000</v>
      </c>
      <c r="B54" t="str">
        <f t="shared" si="14"/>
        <v>G10</v>
      </c>
      <c r="C54" t="str">
        <f t="shared" si="15"/>
        <v>TwoAge</v>
      </c>
      <c r="D54" t="str">
        <f t="shared" si="16"/>
        <v>B06</v>
      </c>
      <c r="E54" t="s">
        <v>23</v>
      </c>
      <c r="F54">
        <v>0.05</v>
      </c>
      <c r="G54" t="s">
        <v>59</v>
      </c>
      <c r="H54" s="9">
        <v>679156</v>
      </c>
      <c r="J54" t="str">
        <f t="shared" si="17"/>
        <v>G10</v>
      </c>
      <c r="K54" t="str">
        <f t="shared" si="18"/>
        <v>TwoAge</v>
      </c>
      <c r="L54" t="str">
        <f t="shared" si="19"/>
        <v>B06</v>
      </c>
      <c r="M54" t="s">
        <v>23</v>
      </c>
      <c r="N54">
        <v>0.05</v>
      </c>
      <c r="O54" t="s">
        <v>37</v>
      </c>
      <c r="P54" s="9">
        <v>679248</v>
      </c>
      <c r="Q54" s="9">
        <v>483</v>
      </c>
      <c r="S54" s="9">
        <f t="shared" si="20"/>
        <v>92</v>
      </c>
      <c r="T54" s="9">
        <f t="shared" si="21"/>
        <v>391</v>
      </c>
      <c r="V54" t="b">
        <f t="shared" si="22"/>
        <v>1</v>
      </c>
      <c r="W54" t="b">
        <f t="shared" si="23"/>
        <v>1</v>
      </c>
      <c r="X54" t="b">
        <f t="shared" si="24"/>
        <v>1</v>
      </c>
      <c r="Y54" t="b">
        <f t="shared" si="25"/>
        <v>1</v>
      </c>
    </row>
    <row r="55" spans="1:25" x14ac:dyDescent="0.3">
      <c r="A55" t="str">
        <f t="shared" si="13"/>
        <v>Master Model G10 Grizzly XL Relapse_TwoAge_B070.05JAGS_Male_2000</v>
      </c>
      <c r="B55" t="str">
        <f t="shared" si="14"/>
        <v>G10</v>
      </c>
      <c r="C55" t="str">
        <f t="shared" si="15"/>
        <v>TwoAge</v>
      </c>
      <c r="D55" t="str">
        <f t="shared" si="16"/>
        <v>B07</v>
      </c>
      <c r="E55" t="s">
        <v>23</v>
      </c>
      <c r="F55">
        <v>0.05</v>
      </c>
      <c r="G55" t="s">
        <v>60</v>
      </c>
      <c r="H55" s="9">
        <v>678960</v>
      </c>
      <c r="J55" t="str">
        <f t="shared" si="17"/>
        <v>G10</v>
      </c>
      <c r="K55" t="str">
        <f t="shared" si="18"/>
        <v>TwoAge</v>
      </c>
      <c r="L55" t="str">
        <f t="shared" si="19"/>
        <v>B07</v>
      </c>
      <c r="M55" t="s">
        <v>23</v>
      </c>
      <c r="N55">
        <v>0.05</v>
      </c>
      <c r="O55" t="s">
        <v>38</v>
      </c>
      <c r="P55" s="9">
        <v>679006</v>
      </c>
      <c r="Q55" s="9">
        <v>241</v>
      </c>
      <c r="S55" s="9">
        <f t="shared" si="20"/>
        <v>46</v>
      </c>
      <c r="T55" s="9">
        <f t="shared" si="21"/>
        <v>195</v>
      </c>
      <c r="V55" t="b">
        <f t="shared" si="22"/>
        <v>1</v>
      </c>
      <c r="W55" t="b">
        <f t="shared" si="23"/>
        <v>1</v>
      </c>
      <c r="X55" t="b">
        <f t="shared" si="24"/>
        <v>1</v>
      </c>
      <c r="Y55" t="b">
        <f t="shared" si="25"/>
        <v>1</v>
      </c>
    </row>
    <row r="56" spans="1:25" x14ac:dyDescent="0.3">
      <c r="A56" t="str">
        <f t="shared" si="13"/>
        <v>Master Model G10 Grizzly XL Relapse_TwoAge_B080.05JAGS_Male_2000</v>
      </c>
      <c r="B56" t="str">
        <f t="shared" si="14"/>
        <v>G10</v>
      </c>
      <c r="C56" t="str">
        <f t="shared" si="15"/>
        <v>TwoAge</v>
      </c>
      <c r="D56" t="str">
        <f t="shared" si="16"/>
        <v>B08</v>
      </c>
      <c r="E56" t="s">
        <v>23</v>
      </c>
      <c r="F56">
        <v>0.05</v>
      </c>
      <c r="G56" t="s">
        <v>61</v>
      </c>
      <c r="H56" s="9">
        <v>678833</v>
      </c>
      <c r="J56" t="str">
        <f t="shared" si="17"/>
        <v>G10</v>
      </c>
      <c r="K56" t="str">
        <f t="shared" si="18"/>
        <v>TwoAge</v>
      </c>
      <c r="L56" t="str">
        <f t="shared" si="19"/>
        <v>B08</v>
      </c>
      <c r="M56" t="s">
        <v>23</v>
      </c>
      <c r="N56">
        <v>0.05</v>
      </c>
      <c r="O56" t="s">
        <v>39</v>
      </c>
      <c r="P56" s="9">
        <v>678845</v>
      </c>
      <c r="Q56" s="9">
        <v>80</v>
      </c>
      <c r="S56" s="9">
        <f t="shared" si="20"/>
        <v>12</v>
      </c>
      <c r="T56" s="9">
        <f t="shared" si="21"/>
        <v>68</v>
      </c>
      <c r="V56" t="b">
        <f t="shared" si="22"/>
        <v>1</v>
      </c>
      <c r="W56" t="b">
        <f t="shared" si="23"/>
        <v>1</v>
      </c>
      <c r="X56" t="b">
        <f t="shared" si="24"/>
        <v>1</v>
      </c>
      <c r="Y56" t="b">
        <f t="shared" si="25"/>
        <v>1</v>
      </c>
    </row>
    <row r="57" spans="1:25" x14ac:dyDescent="0.3">
      <c r="A57" t="str">
        <f t="shared" si="13"/>
        <v>Master Model G10 Grizzly XL Relapse_TwoAge_B090.05JAGS_Male_2000</v>
      </c>
      <c r="B57" t="str">
        <f t="shared" si="14"/>
        <v>G10</v>
      </c>
      <c r="C57" t="str">
        <f t="shared" si="15"/>
        <v>TwoAge</v>
      </c>
      <c r="D57" t="str">
        <f t="shared" si="16"/>
        <v>B09</v>
      </c>
      <c r="E57" t="s">
        <v>23</v>
      </c>
      <c r="F57">
        <v>0.05</v>
      </c>
      <c r="G57" t="s">
        <v>62</v>
      </c>
      <c r="H57" s="9">
        <v>678781</v>
      </c>
      <c r="J57" t="str">
        <f t="shared" si="17"/>
        <v>G10</v>
      </c>
      <c r="K57" t="str">
        <f t="shared" si="18"/>
        <v>TwoAge</v>
      </c>
      <c r="L57" t="str">
        <f t="shared" si="19"/>
        <v>B09</v>
      </c>
      <c r="M57" t="s">
        <v>23</v>
      </c>
      <c r="N57">
        <v>0.05</v>
      </c>
      <c r="O57" t="s">
        <v>40</v>
      </c>
      <c r="P57" s="9">
        <v>678788</v>
      </c>
      <c r="Q57" s="9">
        <v>22</v>
      </c>
      <c r="S57" s="9">
        <f t="shared" si="20"/>
        <v>7</v>
      </c>
      <c r="T57" s="9">
        <f t="shared" si="21"/>
        <v>15</v>
      </c>
      <c r="V57" t="b">
        <f t="shared" si="22"/>
        <v>1</v>
      </c>
      <c r="W57" t="b">
        <f t="shared" si="23"/>
        <v>1</v>
      </c>
      <c r="X57" t="b">
        <f t="shared" si="24"/>
        <v>1</v>
      </c>
      <c r="Y57" t="b">
        <f t="shared" si="25"/>
        <v>1</v>
      </c>
    </row>
    <row r="58" spans="1:25" x14ac:dyDescent="0.3">
      <c r="A58" t="str">
        <f t="shared" si="13"/>
        <v>Master Model G10 Grizzly XL Relapse_TwoAge_B100.05JAGS_Male_2000</v>
      </c>
      <c r="B58" t="str">
        <f t="shared" si="14"/>
        <v>G10</v>
      </c>
      <c r="C58" t="str">
        <f t="shared" si="15"/>
        <v>TwoAge</v>
      </c>
      <c r="D58" t="str">
        <f t="shared" si="16"/>
        <v>B10</v>
      </c>
      <c r="E58" t="s">
        <v>23</v>
      </c>
      <c r="F58">
        <v>0.05</v>
      </c>
      <c r="G58" t="s">
        <v>63</v>
      </c>
      <c r="H58" s="9">
        <v>678771</v>
      </c>
      <c r="J58" t="str">
        <f t="shared" si="17"/>
        <v>G10</v>
      </c>
      <c r="K58" t="str">
        <f t="shared" si="18"/>
        <v>TwoAge</v>
      </c>
      <c r="L58" t="str">
        <f t="shared" si="19"/>
        <v>B10</v>
      </c>
      <c r="M58" t="s">
        <v>23</v>
      </c>
      <c r="N58">
        <v>0.05</v>
      </c>
      <c r="O58" t="s">
        <v>41</v>
      </c>
      <c r="P58" s="9">
        <v>678774</v>
      </c>
      <c r="Q58" s="9">
        <v>9</v>
      </c>
      <c r="S58" s="9">
        <f t="shared" si="20"/>
        <v>3</v>
      </c>
      <c r="T58" s="9">
        <f t="shared" si="21"/>
        <v>6</v>
      </c>
      <c r="V58" t="b">
        <f t="shared" si="22"/>
        <v>1</v>
      </c>
      <c r="W58" t="b">
        <f t="shared" si="23"/>
        <v>1</v>
      </c>
      <c r="X58" t="b">
        <f t="shared" si="24"/>
        <v>1</v>
      </c>
      <c r="Y58" t="b">
        <f t="shared" si="25"/>
        <v>1</v>
      </c>
    </row>
    <row r="59" spans="1:25" x14ac:dyDescent="0.3">
      <c r="A59" t="str">
        <f t="shared" si="13"/>
        <v>Master Model G10 Grizzly XL Relapse_TwoAge_B110.05JAGS_Male_2000</v>
      </c>
      <c r="B59" t="str">
        <f t="shared" si="14"/>
        <v>G10</v>
      </c>
      <c r="C59" t="str">
        <f t="shared" si="15"/>
        <v>TwoAge</v>
      </c>
      <c r="D59" t="str">
        <f t="shared" si="16"/>
        <v>B11</v>
      </c>
      <c r="E59" t="s">
        <v>23</v>
      </c>
      <c r="F59">
        <v>0.05</v>
      </c>
      <c r="G59" t="s">
        <v>64</v>
      </c>
      <c r="H59" s="9">
        <v>678767</v>
      </c>
      <c r="J59" t="str">
        <f t="shared" si="17"/>
        <v>G10</v>
      </c>
      <c r="K59" t="str">
        <f t="shared" si="18"/>
        <v>TwoAge</v>
      </c>
      <c r="L59" t="str">
        <f t="shared" si="19"/>
        <v>B11</v>
      </c>
      <c r="M59" t="s">
        <v>23</v>
      </c>
      <c r="N59">
        <v>0.05</v>
      </c>
      <c r="O59" t="s">
        <v>42</v>
      </c>
      <c r="P59" s="9">
        <v>678768</v>
      </c>
      <c r="Q59" s="9">
        <v>2</v>
      </c>
      <c r="S59" s="9">
        <f t="shared" si="20"/>
        <v>1</v>
      </c>
      <c r="T59" s="9">
        <f t="shared" si="21"/>
        <v>1</v>
      </c>
      <c r="V59" t="b">
        <f t="shared" si="22"/>
        <v>1</v>
      </c>
      <c r="W59" t="b">
        <f t="shared" si="23"/>
        <v>1</v>
      </c>
      <c r="X59" t="b">
        <f t="shared" si="24"/>
        <v>1</v>
      </c>
      <c r="Y59" t="b">
        <f t="shared" si="25"/>
        <v>1</v>
      </c>
    </row>
    <row r="60" spans="1:25" x14ac:dyDescent="0.3">
      <c r="A60" t="str">
        <f t="shared" si="13"/>
        <v>Master Model G25 Grizzly XL Relapse_TwoAge_B010.05JAGS_Male_2000</v>
      </c>
      <c r="B60" t="str">
        <f t="shared" si="14"/>
        <v>G25</v>
      </c>
      <c r="C60" t="str">
        <f t="shared" si="15"/>
        <v>TwoAge</v>
      </c>
      <c r="D60" t="str">
        <f t="shared" si="16"/>
        <v>B01</v>
      </c>
      <c r="E60" t="s">
        <v>23</v>
      </c>
      <c r="F60">
        <v>0.05</v>
      </c>
      <c r="G60" t="s">
        <v>65</v>
      </c>
      <c r="H60" s="9">
        <v>680818</v>
      </c>
      <c r="J60" t="str">
        <f t="shared" si="17"/>
        <v>G25</v>
      </c>
      <c r="K60" t="str">
        <f t="shared" si="18"/>
        <v>TwoAge</v>
      </c>
      <c r="L60" t="str">
        <f t="shared" si="19"/>
        <v>B01</v>
      </c>
      <c r="M60" t="s">
        <v>23</v>
      </c>
      <c r="N60">
        <v>0.05</v>
      </c>
      <c r="O60" t="s">
        <v>43</v>
      </c>
      <c r="P60" s="9">
        <v>681025</v>
      </c>
      <c r="Q60" s="9">
        <v>2260</v>
      </c>
      <c r="S60" s="9">
        <f t="shared" si="20"/>
        <v>207</v>
      </c>
      <c r="T60" s="9">
        <f t="shared" si="21"/>
        <v>2053</v>
      </c>
      <c r="V60" t="b">
        <f t="shared" si="22"/>
        <v>1</v>
      </c>
      <c r="W60" t="b">
        <f t="shared" si="23"/>
        <v>1</v>
      </c>
      <c r="X60" t="b">
        <f t="shared" si="24"/>
        <v>1</v>
      </c>
      <c r="Y60" t="b">
        <f t="shared" si="25"/>
        <v>1</v>
      </c>
    </row>
    <row r="61" spans="1:25" x14ac:dyDescent="0.3">
      <c r="A61" t="str">
        <f t="shared" si="13"/>
        <v>Master Model G25 Grizzly XL Relapse_TwoAge_B020.05JAGS_Male_2000</v>
      </c>
      <c r="B61" t="str">
        <f t="shared" si="14"/>
        <v>G25</v>
      </c>
      <c r="C61" t="str">
        <f t="shared" si="15"/>
        <v>TwoAge</v>
      </c>
      <c r="D61" t="str">
        <f t="shared" si="16"/>
        <v>B02</v>
      </c>
      <c r="E61" t="s">
        <v>23</v>
      </c>
      <c r="F61">
        <v>0.05</v>
      </c>
      <c r="G61" t="s">
        <v>66</v>
      </c>
      <c r="H61" s="9">
        <v>680638</v>
      </c>
      <c r="J61" t="str">
        <f t="shared" si="17"/>
        <v>G25</v>
      </c>
      <c r="K61" t="str">
        <f t="shared" si="18"/>
        <v>TwoAge</v>
      </c>
      <c r="L61" t="str">
        <f t="shared" si="19"/>
        <v>B02</v>
      </c>
      <c r="M61" t="s">
        <v>23</v>
      </c>
      <c r="N61">
        <v>0.05</v>
      </c>
      <c r="O61" t="s">
        <v>44</v>
      </c>
      <c r="P61" s="9">
        <v>680850</v>
      </c>
      <c r="Q61" s="9">
        <v>2085</v>
      </c>
      <c r="S61" s="9">
        <f t="shared" si="20"/>
        <v>212</v>
      </c>
      <c r="T61" s="9">
        <f t="shared" si="21"/>
        <v>1873</v>
      </c>
      <c r="V61" t="b">
        <f t="shared" si="22"/>
        <v>1</v>
      </c>
      <c r="W61" t="b">
        <f t="shared" si="23"/>
        <v>1</v>
      </c>
      <c r="X61" t="b">
        <f t="shared" si="24"/>
        <v>1</v>
      </c>
      <c r="Y61" t="b">
        <f t="shared" si="25"/>
        <v>1</v>
      </c>
    </row>
    <row r="62" spans="1:25" x14ac:dyDescent="0.3">
      <c r="A62" t="str">
        <f t="shared" si="13"/>
        <v>Master Model G25 Grizzly XL Relapse_TwoAge_B030.05JAGS_Male_2000</v>
      </c>
      <c r="B62" t="str">
        <f t="shared" si="14"/>
        <v>G25</v>
      </c>
      <c r="C62" t="str">
        <f t="shared" si="15"/>
        <v>TwoAge</v>
      </c>
      <c r="D62" t="str">
        <f t="shared" si="16"/>
        <v>B03</v>
      </c>
      <c r="E62" t="s">
        <v>23</v>
      </c>
      <c r="F62">
        <v>0.05</v>
      </c>
      <c r="G62" t="s">
        <v>67</v>
      </c>
      <c r="H62" s="9">
        <v>680019</v>
      </c>
      <c r="J62" t="str">
        <f t="shared" si="17"/>
        <v>G25</v>
      </c>
      <c r="K62" t="str">
        <f t="shared" si="18"/>
        <v>TwoAge</v>
      </c>
      <c r="L62" t="str">
        <f t="shared" si="19"/>
        <v>B03</v>
      </c>
      <c r="M62" t="s">
        <v>23</v>
      </c>
      <c r="N62">
        <v>0.05</v>
      </c>
      <c r="O62" t="s">
        <v>45</v>
      </c>
      <c r="P62" s="9">
        <v>680244</v>
      </c>
      <c r="Q62" s="9">
        <v>1478</v>
      </c>
      <c r="S62" s="9">
        <f t="shared" si="20"/>
        <v>225</v>
      </c>
      <c r="T62" s="9">
        <f t="shared" si="21"/>
        <v>1253</v>
      </c>
      <c r="V62" t="b">
        <f t="shared" si="22"/>
        <v>1</v>
      </c>
      <c r="W62" t="b">
        <f t="shared" si="23"/>
        <v>1</v>
      </c>
      <c r="X62" t="b">
        <f t="shared" si="24"/>
        <v>1</v>
      </c>
      <c r="Y62" t="b">
        <f t="shared" si="25"/>
        <v>1</v>
      </c>
    </row>
    <row r="63" spans="1:25" x14ac:dyDescent="0.3">
      <c r="A63" t="str">
        <f t="shared" si="13"/>
        <v>Master Model G25 Grizzly XL Relapse_TwoAge_B040.05JAGS_Male_2000</v>
      </c>
      <c r="B63" t="str">
        <f t="shared" si="14"/>
        <v>G25</v>
      </c>
      <c r="C63" t="str">
        <f t="shared" si="15"/>
        <v>TwoAge</v>
      </c>
      <c r="D63" t="str">
        <f t="shared" si="16"/>
        <v>B04</v>
      </c>
      <c r="E63" t="s">
        <v>23</v>
      </c>
      <c r="F63">
        <v>0.05</v>
      </c>
      <c r="G63" t="s">
        <v>68</v>
      </c>
      <c r="H63" s="9">
        <v>679623</v>
      </c>
      <c r="J63" t="str">
        <f t="shared" si="17"/>
        <v>G25</v>
      </c>
      <c r="K63" t="str">
        <f t="shared" si="18"/>
        <v>TwoAge</v>
      </c>
      <c r="L63" t="str">
        <f t="shared" si="19"/>
        <v>B04</v>
      </c>
      <c r="M63" t="s">
        <v>23</v>
      </c>
      <c r="N63">
        <v>0.05</v>
      </c>
      <c r="O63" t="s">
        <v>46</v>
      </c>
      <c r="P63" s="9">
        <v>679817</v>
      </c>
      <c r="Q63" s="9">
        <v>1052</v>
      </c>
      <c r="S63" s="9">
        <f t="shared" si="20"/>
        <v>194</v>
      </c>
      <c r="T63" s="9">
        <f t="shared" si="21"/>
        <v>858</v>
      </c>
      <c r="V63" t="b">
        <f t="shared" si="22"/>
        <v>1</v>
      </c>
      <c r="W63" t="b">
        <f t="shared" si="23"/>
        <v>1</v>
      </c>
      <c r="X63" t="b">
        <f t="shared" si="24"/>
        <v>1</v>
      </c>
      <c r="Y63" t="b">
        <f t="shared" si="25"/>
        <v>1</v>
      </c>
    </row>
    <row r="64" spans="1:25" x14ac:dyDescent="0.3">
      <c r="A64" t="str">
        <f t="shared" si="13"/>
        <v>Master Model G25 Grizzly XL Relapse_TwoAge_B050.05JAGS_Male_2000</v>
      </c>
      <c r="B64" t="str">
        <f t="shared" si="14"/>
        <v>G25</v>
      </c>
      <c r="C64" t="str">
        <f t="shared" si="15"/>
        <v>TwoAge</v>
      </c>
      <c r="D64" t="str">
        <f t="shared" si="16"/>
        <v>B05</v>
      </c>
      <c r="E64" t="s">
        <v>23</v>
      </c>
      <c r="F64">
        <v>0.05</v>
      </c>
      <c r="G64" t="s">
        <v>69</v>
      </c>
      <c r="H64" s="9">
        <v>679360</v>
      </c>
      <c r="J64" t="str">
        <f t="shared" si="17"/>
        <v>G25</v>
      </c>
      <c r="K64" t="str">
        <f t="shared" si="18"/>
        <v>TwoAge</v>
      </c>
      <c r="L64" t="str">
        <f t="shared" si="19"/>
        <v>B05</v>
      </c>
      <c r="M64" t="s">
        <v>23</v>
      </c>
      <c r="N64">
        <v>0.05</v>
      </c>
      <c r="O64" t="s">
        <v>47</v>
      </c>
      <c r="P64" s="9">
        <v>679482</v>
      </c>
      <c r="Q64" s="9">
        <v>716</v>
      </c>
      <c r="S64" s="9">
        <f t="shared" si="20"/>
        <v>122</v>
      </c>
      <c r="T64" s="9">
        <f t="shared" si="21"/>
        <v>594</v>
      </c>
      <c r="V64" t="b">
        <f t="shared" si="22"/>
        <v>1</v>
      </c>
      <c r="W64" t="b">
        <f t="shared" si="23"/>
        <v>1</v>
      </c>
      <c r="X64" t="b">
        <f t="shared" si="24"/>
        <v>1</v>
      </c>
      <c r="Y64" t="b">
        <f t="shared" si="25"/>
        <v>1</v>
      </c>
    </row>
    <row r="65" spans="1:25" x14ac:dyDescent="0.3">
      <c r="A65" t="str">
        <f t="shared" si="13"/>
        <v>Master Model G25 Grizzly XL Relapse_TwoAge_B060.05JAGS_Male_2000</v>
      </c>
      <c r="B65" t="str">
        <f t="shared" si="14"/>
        <v>G25</v>
      </c>
      <c r="C65" t="str">
        <f t="shared" si="15"/>
        <v>TwoAge</v>
      </c>
      <c r="D65" t="str">
        <f t="shared" si="16"/>
        <v>B06</v>
      </c>
      <c r="E65" t="s">
        <v>23</v>
      </c>
      <c r="F65">
        <v>0.05</v>
      </c>
      <c r="G65" t="s">
        <v>70</v>
      </c>
      <c r="H65" s="9">
        <v>679156</v>
      </c>
      <c r="J65" t="str">
        <f t="shared" si="17"/>
        <v>G25</v>
      </c>
      <c r="K65" t="str">
        <f t="shared" si="18"/>
        <v>TwoAge</v>
      </c>
      <c r="L65" t="str">
        <f t="shared" si="19"/>
        <v>B06</v>
      </c>
      <c r="M65" t="s">
        <v>23</v>
      </c>
      <c r="N65">
        <v>0.05</v>
      </c>
      <c r="O65" t="s">
        <v>48</v>
      </c>
      <c r="P65" s="9">
        <v>679248</v>
      </c>
      <c r="Q65" s="9">
        <v>483</v>
      </c>
      <c r="S65" s="9">
        <f t="shared" si="20"/>
        <v>92</v>
      </c>
      <c r="T65" s="9">
        <f t="shared" si="21"/>
        <v>391</v>
      </c>
      <c r="V65" t="b">
        <f t="shared" si="22"/>
        <v>1</v>
      </c>
      <c r="W65" t="b">
        <f t="shared" si="23"/>
        <v>1</v>
      </c>
      <c r="X65" t="b">
        <f t="shared" si="24"/>
        <v>1</v>
      </c>
      <c r="Y65" t="b">
        <f t="shared" si="25"/>
        <v>1</v>
      </c>
    </row>
    <row r="66" spans="1:25" x14ac:dyDescent="0.3">
      <c r="A66" t="str">
        <f t="shared" si="13"/>
        <v>Master Model G25 Grizzly XL Relapse_TwoAge_B070.05JAGS_Male_2000</v>
      </c>
      <c r="B66" t="str">
        <f t="shared" si="14"/>
        <v>G25</v>
      </c>
      <c r="C66" t="str">
        <f t="shared" si="15"/>
        <v>TwoAge</v>
      </c>
      <c r="D66" t="str">
        <f t="shared" si="16"/>
        <v>B07</v>
      </c>
      <c r="E66" t="s">
        <v>23</v>
      </c>
      <c r="F66">
        <v>0.05</v>
      </c>
      <c r="G66" t="s">
        <v>71</v>
      </c>
      <c r="H66" s="9">
        <v>678960</v>
      </c>
      <c r="J66" t="str">
        <f t="shared" si="17"/>
        <v>G25</v>
      </c>
      <c r="K66" t="str">
        <f t="shared" si="18"/>
        <v>TwoAge</v>
      </c>
      <c r="L66" t="str">
        <f t="shared" si="19"/>
        <v>B07</v>
      </c>
      <c r="M66" t="s">
        <v>23</v>
      </c>
      <c r="N66">
        <v>0.05</v>
      </c>
      <c r="O66" t="s">
        <v>49</v>
      </c>
      <c r="P66" s="9">
        <v>679006</v>
      </c>
      <c r="Q66" s="9">
        <v>241</v>
      </c>
      <c r="S66" s="9">
        <f t="shared" si="20"/>
        <v>46</v>
      </c>
      <c r="T66" s="9">
        <f t="shared" si="21"/>
        <v>195</v>
      </c>
      <c r="V66" t="b">
        <f t="shared" si="22"/>
        <v>1</v>
      </c>
      <c r="W66" t="b">
        <f t="shared" si="23"/>
        <v>1</v>
      </c>
      <c r="X66" t="b">
        <f t="shared" si="24"/>
        <v>1</v>
      </c>
      <c r="Y66" t="b">
        <f t="shared" si="25"/>
        <v>1</v>
      </c>
    </row>
    <row r="67" spans="1:25" x14ac:dyDescent="0.3">
      <c r="A67" t="str">
        <f t="shared" si="13"/>
        <v>Master Model G25 Grizzly XL Relapse_TwoAge_B080.05JAGS_Male_2000</v>
      </c>
      <c r="B67" t="str">
        <f t="shared" si="14"/>
        <v>G25</v>
      </c>
      <c r="C67" t="str">
        <f t="shared" si="15"/>
        <v>TwoAge</v>
      </c>
      <c r="D67" t="str">
        <f t="shared" si="16"/>
        <v>B08</v>
      </c>
      <c r="E67" t="s">
        <v>23</v>
      </c>
      <c r="F67">
        <v>0.05</v>
      </c>
      <c r="G67" t="s">
        <v>72</v>
      </c>
      <c r="H67" s="9">
        <v>678833</v>
      </c>
      <c r="J67" t="str">
        <f t="shared" si="17"/>
        <v>G25</v>
      </c>
      <c r="K67" t="str">
        <f t="shared" si="18"/>
        <v>TwoAge</v>
      </c>
      <c r="L67" t="str">
        <f t="shared" si="19"/>
        <v>B08</v>
      </c>
      <c r="M67" t="s">
        <v>23</v>
      </c>
      <c r="N67">
        <v>0.05</v>
      </c>
      <c r="O67" t="s">
        <v>50</v>
      </c>
      <c r="P67" s="9">
        <v>678845</v>
      </c>
      <c r="Q67" s="9">
        <v>80</v>
      </c>
      <c r="S67" s="9">
        <f t="shared" si="20"/>
        <v>12</v>
      </c>
      <c r="T67" s="9">
        <f t="shared" si="21"/>
        <v>68</v>
      </c>
      <c r="V67" t="b">
        <f t="shared" si="22"/>
        <v>1</v>
      </c>
      <c r="W67" t="b">
        <f t="shared" si="23"/>
        <v>1</v>
      </c>
      <c r="X67" t="b">
        <f t="shared" si="24"/>
        <v>1</v>
      </c>
      <c r="Y67" t="b">
        <f t="shared" si="25"/>
        <v>1</v>
      </c>
    </row>
    <row r="68" spans="1:25" x14ac:dyDescent="0.3">
      <c r="A68" t="str">
        <f t="shared" si="13"/>
        <v>Master Model G25 Grizzly XL Relapse_TwoAge_B090.05JAGS_Male_2000</v>
      </c>
      <c r="B68" t="str">
        <f t="shared" si="14"/>
        <v>G25</v>
      </c>
      <c r="C68" t="str">
        <f t="shared" si="15"/>
        <v>TwoAge</v>
      </c>
      <c r="D68" t="str">
        <f t="shared" si="16"/>
        <v>B09</v>
      </c>
      <c r="E68" t="s">
        <v>23</v>
      </c>
      <c r="F68">
        <v>0.05</v>
      </c>
      <c r="G68" t="s">
        <v>73</v>
      </c>
      <c r="H68" s="9">
        <v>678781</v>
      </c>
      <c r="J68" t="str">
        <f t="shared" si="17"/>
        <v>G25</v>
      </c>
      <c r="K68" t="str">
        <f t="shared" si="18"/>
        <v>TwoAge</v>
      </c>
      <c r="L68" t="str">
        <f t="shared" si="19"/>
        <v>B09</v>
      </c>
      <c r="M68" t="s">
        <v>23</v>
      </c>
      <c r="N68">
        <v>0.05</v>
      </c>
      <c r="O68" t="s">
        <v>51</v>
      </c>
      <c r="P68" s="9">
        <v>678788</v>
      </c>
      <c r="Q68" s="9">
        <v>22</v>
      </c>
      <c r="S68" s="9">
        <f t="shared" si="20"/>
        <v>7</v>
      </c>
      <c r="T68" s="9">
        <f t="shared" si="21"/>
        <v>15</v>
      </c>
      <c r="V68" t="b">
        <f t="shared" si="22"/>
        <v>1</v>
      </c>
      <c r="W68" t="b">
        <f t="shared" si="23"/>
        <v>1</v>
      </c>
      <c r="X68" t="b">
        <f t="shared" si="24"/>
        <v>1</v>
      </c>
      <c r="Y68" t="b">
        <f t="shared" si="25"/>
        <v>1</v>
      </c>
    </row>
    <row r="69" spans="1:25" x14ac:dyDescent="0.3">
      <c r="A69" t="str">
        <f t="shared" ref="A69:A92" si="26">G69&amp;F69&amp;E69</f>
        <v>Master Model G25 Grizzly XL Relapse_TwoAge_B100.05JAGS_Male_2000</v>
      </c>
      <c r="B69" t="str">
        <f t="shared" ref="B69:B92" si="27">IF(ISNUMBER(SEARCH("G10",G69)),"G10","G25")</f>
        <v>G25</v>
      </c>
      <c r="C69" t="str">
        <f t="shared" ref="C69:C92" si="28">IF(ISNUMBER(SEARCH("AllAge",G69)),"AllAge","TwoAge")</f>
        <v>TwoAge</v>
      </c>
      <c r="D69" t="str">
        <f t="shared" ref="D69:D92" si="29">RIGHT(G69,3)</f>
        <v>B10</v>
      </c>
      <c r="E69" t="s">
        <v>23</v>
      </c>
      <c r="F69">
        <v>0.05</v>
      </c>
      <c r="G69" t="s">
        <v>74</v>
      </c>
      <c r="H69" s="9">
        <v>678771</v>
      </c>
      <c r="J69" t="str">
        <f t="shared" ref="J69:J92" si="30">IF(ISNUMBER(SEARCH("G10",O69)),"G10","G25")</f>
        <v>G25</v>
      </c>
      <c r="K69" t="str">
        <f t="shared" ref="K69:K92" si="31">IF(ISNUMBER(SEARCH("AllAge",O69)),"AllAge","TwoAge")</f>
        <v>TwoAge</v>
      </c>
      <c r="L69" t="str">
        <f t="shared" ref="L69:L92" si="32">RIGHT(O69,3)</f>
        <v>B10</v>
      </c>
      <c r="M69" t="s">
        <v>23</v>
      </c>
      <c r="N69">
        <v>0.05</v>
      </c>
      <c r="O69" t="s">
        <v>52</v>
      </c>
      <c r="P69" s="9">
        <v>678774</v>
      </c>
      <c r="Q69" s="9">
        <v>9</v>
      </c>
      <c r="S69" s="9">
        <f t="shared" ref="S69:S92" si="33">ROUND(P69-H69,0)</f>
        <v>3</v>
      </c>
      <c r="T69" s="9">
        <f t="shared" ref="T69:T100" si="34">ROUND(Q69-S69,0)</f>
        <v>6</v>
      </c>
      <c r="V69" t="b">
        <f t="shared" ref="V69:V92" si="35">EXACT(B69,J69)</f>
        <v>1</v>
      </c>
      <c r="W69" t="b">
        <f t="shared" ref="W69:W92" si="36">EXACT(C69,K69)</f>
        <v>1</v>
      </c>
      <c r="X69" t="b">
        <f t="shared" ref="X69:X92" si="37">EXACT(D69,L69)</f>
        <v>1</v>
      </c>
      <c r="Y69" t="b">
        <f t="shared" ref="Y69:Y92" si="38">EXACT(E69,M69)</f>
        <v>1</v>
      </c>
    </row>
    <row r="70" spans="1:25" x14ac:dyDescent="0.3">
      <c r="A70" t="str">
        <f t="shared" si="26"/>
        <v>Master Model G25 Grizzly XL Relapse_TwoAge_B110.05JAGS_Male_2000</v>
      </c>
      <c r="B70" t="str">
        <f t="shared" si="27"/>
        <v>G25</v>
      </c>
      <c r="C70" t="str">
        <f t="shared" si="28"/>
        <v>TwoAge</v>
      </c>
      <c r="D70" t="str">
        <f t="shared" si="29"/>
        <v>B11</v>
      </c>
      <c r="E70" t="s">
        <v>23</v>
      </c>
      <c r="F70">
        <v>0.05</v>
      </c>
      <c r="G70" t="s">
        <v>75</v>
      </c>
      <c r="H70" s="9">
        <v>678767</v>
      </c>
      <c r="J70" t="str">
        <f t="shared" si="30"/>
        <v>G25</v>
      </c>
      <c r="K70" t="str">
        <f t="shared" si="31"/>
        <v>TwoAge</v>
      </c>
      <c r="L70" t="str">
        <f t="shared" si="32"/>
        <v>B11</v>
      </c>
      <c r="M70" t="s">
        <v>23</v>
      </c>
      <c r="N70">
        <v>0.05</v>
      </c>
      <c r="O70" t="s">
        <v>53</v>
      </c>
      <c r="P70" s="9">
        <v>678768</v>
      </c>
      <c r="Q70" s="9">
        <v>2</v>
      </c>
      <c r="S70" s="9">
        <f t="shared" si="33"/>
        <v>1</v>
      </c>
      <c r="T70" s="9">
        <f t="shared" si="34"/>
        <v>1</v>
      </c>
      <c r="V70" t="b">
        <f t="shared" si="35"/>
        <v>1</v>
      </c>
      <c r="W70" t="b">
        <f t="shared" si="36"/>
        <v>1</v>
      </c>
      <c r="X70" t="b">
        <f t="shared" si="37"/>
        <v>1</v>
      </c>
      <c r="Y70" t="b">
        <f t="shared" si="38"/>
        <v>1</v>
      </c>
    </row>
    <row r="71" spans="1:25" x14ac:dyDescent="0.3">
      <c r="A71" t="str">
        <f t="shared" si="26"/>
        <v>Master Model G10 Grizzly XL Relapse_TwoAge_B010.1JAGS_Male_2000</v>
      </c>
      <c r="B71" t="str">
        <f t="shared" si="27"/>
        <v>G10</v>
      </c>
      <c r="C71" t="str">
        <f t="shared" si="28"/>
        <v>TwoAge</v>
      </c>
      <c r="D71" t="str">
        <f t="shared" si="29"/>
        <v>B01</v>
      </c>
      <c r="E71" t="s">
        <v>23</v>
      </c>
      <c r="F71">
        <v>0.1</v>
      </c>
      <c r="G71" t="s">
        <v>54</v>
      </c>
      <c r="H71" s="9">
        <v>680622</v>
      </c>
      <c r="J71" t="str">
        <f t="shared" si="30"/>
        <v>G10</v>
      </c>
      <c r="K71" t="str">
        <f t="shared" si="31"/>
        <v>TwoAge</v>
      </c>
      <c r="L71" t="str">
        <f t="shared" si="32"/>
        <v>B01</v>
      </c>
      <c r="M71" t="s">
        <v>23</v>
      </c>
      <c r="N71">
        <v>0.1</v>
      </c>
      <c r="O71" t="s">
        <v>22</v>
      </c>
      <c r="P71" s="9">
        <v>680813</v>
      </c>
      <c r="Q71" s="9">
        <v>2047</v>
      </c>
      <c r="S71" s="9">
        <f t="shared" si="33"/>
        <v>191</v>
      </c>
      <c r="T71" s="9">
        <f t="shared" si="34"/>
        <v>1856</v>
      </c>
      <c r="V71" t="b">
        <f t="shared" si="35"/>
        <v>1</v>
      </c>
      <c r="W71" t="b">
        <f t="shared" si="36"/>
        <v>1</v>
      </c>
      <c r="X71" t="b">
        <f t="shared" si="37"/>
        <v>1</v>
      </c>
      <c r="Y71" t="b">
        <f t="shared" si="38"/>
        <v>1</v>
      </c>
    </row>
    <row r="72" spans="1:25" x14ac:dyDescent="0.3">
      <c r="A72" t="str">
        <f t="shared" si="26"/>
        <v>Master Model G10 Grizzly XL Relapse_TwoAge_B020.1JAGS_Male_2000</v>
      </c>
      <c r="B72" t="str">
        <f t="shared" si="27"/>
        <v>G10</v>
      </c>
      <c r="C72" t="str">
        <f t="shared" si="28"/>
        <v>TwoAge</v>
      </c>
      <c r="D72" t="str">
        <f t="shared" si="29"/>
        <v>B02</v>
      </c>
      <c r="E72" t="s">
        <v>23</v>
      </c>
      <c r="F72">
        <v>0.1</v>
      </c>
      <c r="G72" t="s">
        <v>55</v>
      </c>
      <c r="H72" s="9">
        <v>680477</v>
      </c>
      <c r="J72" t="str">
        <f t="shared" si="30"/>
        <v>G10</v>
      </c>
      <c r="K72" t="str">
        <f t="shared" si="31"/>
        <v>TwoAge</v>
      </c>
      <c r="L72" t="str">
        <f t="shared" si="32"/>
        <v>B02</v>
      </c>
      <c r="M72" t="s">
        <v>23</v>
      </c>
      <c r="N72">
        <v>0.1</v>
      </c>
      <c r="O72" t="s">
        <v>33</v>
      </c>
      <c r="P72" s="9">
        <v>680674</v>
      </c>
      <c r="Q72" s="9">
        <v>1908</v>
      </c>
      <c r="S72" s="9">
        <f t="shared" si="33"/>
        <v>197</v>
      </c>
      <c r="T72" s="9">
        <f t="shared" si="34"/>
        <v>1711</v>
      </c>
      <c r="V72" t="b">
        <f t="shared" si="35"/>
        <v>1</v>
      </c>
      <c r="W72" t="b">
        <f t="shared" si="36"/>
        <v>1</v>
      </c>
      <c r="X72" t="b">
        <f t="shared" si="37"/>
        <v>1</v>
      </c>
      <c r="Y72" t="b">
        <f t="shared" si="38"/>
        <v>1</v>
      </c>
    </row>
    <row r="73" spans="1:25" x14ac:dyDescent="0.3">
      <c r="A73" t="str">
        <f t="shared" si="26"/>
        <v>Master Model G10 Grizzly XL Relapse_TwoAge_B030.1JAGS_Male_2000</v>
      </c>
      <c r="B73" t="str">
        <f t="shared" si="27"/>
        <v>G10</v>
      </c>
      <c r="C73" t="str">
        <f t="shared" si="28"/>
        <v>TwoAge</v>
      </c>
      <c r="D73" t="str">
        <f t="shared" si="29"/>
        <v>B03</v>
      </c>
      <c r="E73" t="s">
        <v>23</v>
      </c>
      <c r="F73">
        <v>0.1</v>
      </c>
      <c r="G73" t="s">
        <v>56</v>
      </c>
      <c r="H73" s="9">
        <v>679895</v>
      </c>
      <c r="J73" t="str">
        <f t="shared" si="30"/>
        <v>G10</v>
      </c>
      <c r="K73" t="str">
        <f t="shared" si="31"/>
        <v>TwoAge</v>
      </c>
      <c r="L73" t="str">
        <f t="shared" si="32"/>
        <v>B03</v>
      </c>
      <c r="M73" t="s">
        <v>23</v>
      </c>
      <c r="N73">
        <v>0.1</v>
      </c>
      <c r="O73" t="s">
        <v>34</v>
      </c>
      <c r="P73" s="9">
        <v>680103</v>
      </c>
      <c r="Q73" s="9">
        <v>1337</v>
      </c>
      <c r="S73" s="9">
        <f t="shared" si="33"/>
        <v>208</v>
      </c>
      <c r="T73" s="9">
        <f t="shared" si="34"/>
        <v>1129</v>
      </c>
      <c r="V73" t="b">
        <f t="shared" si="35"/>
        <v>1</v>
      </c>
      <c r="W73" t="b">
        <f t="shared" si="36"/>
        <v>1</v>
      </c>
      <c r="X73" t="b">
        <f t="shared" si="37"/>
        <v>1</v>
      </c>
      <c r="Y73" t="b">
        <f t="shared" si="38"/>
        <v>1</v>
      </c>
    </row>
    <row r="74" spans="1:25" x14ac:dyDescent="0.3">
      <c r="A74" t="str">
        <f t="shared" si="26"/>
        <v>Master Model G10 Grizzly XL Relapse_TwoAge_B040.1JAGS_Male_2000</v>
      </c>
      <c r="B74" t="str">
        <f t="shared" si="27"/>
        <v>G10</v>
      </c>
      <c r="C74" t="str">
        <f t="shared" si="28"/>
        <v>TwoAge</v>
      </c>
      <c r="D74" t="str">
        <f t="shared" si="29"/>
        <v>B04</v>
      </c>
      <c r="E74" t="s">
        <v>23</v>
      </c>
      <c r="F74">
        <v>0.1</v>
      </c>
      <c r="G74" t="s">
        <v>57</v>
      </c>
      <c r="H74" s="9">
        <v>679533</v>
      </c>
      <c r="J74" t="str">
        <f t="shared" si="30"/>
        <v>G10</v>
      </c>
      <c r="K74" t="str">
        <f t="shared" si="31"/>
        <v>TwoAge</v>
      </c>
      <c r="L74" t="str">
        <f t="shared" si="32"/>
        <v>B04</v>
      </c>
      <c r="M74" t="s">
        <v>23</v>
      </c>
      <c r="N74">
        <v>0.1</v>
      </c>
      <c r="O74" t="s">
        <v>35</v>
      </c>
      <c r="P74" s="9">
        <v>679713</v>
      </c>
      <c r="Q74" s="9">
        <v>948</v>
      </c>
      <c r="S74" s="9">
        <f t="shared" si="33"/>
        <v>180</v>
      </c>
      <c r="T74" s="9">
        <f t="shared" si="34"/>
        <v>768</v>
      </c>
      <c r="V74" t="b">
        <f t="shared" si="35"/>
        <v>1</v>
      </c>
      <c r="W74" t="b">
        <f t="shared" si="36"/>
        <v>1</v>
      </c>
      <c r="X74" t="b">
        <f t="shared" si="37"/>
        <v>1</v>
      </c>
      <c r="Y74" t="b">
        <f t="shared" si="38"/>
        <v>1</v>
      </c>
    </row>
    <row r="75" spans="1:25" x14ac:dyDescent="0.3">
      <c r="A75" t="str">
        <f t="shared" si="26"/>
        <v>Master Model G10 Grizzly XL Relapse_TwoAge_B050.1JAGS_Male_2000</v>
      </c>
      <c r="B75" t="str">
        <f t="shared" si="27"/>
        <v>G10</v>
      </c>
      <c r="C75" t="str">
        <f t="shared" si="28"/>
        <v>TwoAge</v>
      </c>
      <c r="D75" t="str">
        <f t="shared" si="29"/>
        <v>B05</v>
      </c>
      <c r="E75" t="s">
        <v>23</v>
      </c>
      <c r="F75">
        <v>0.1</v>
      </c>
      <c r="G75" t="s">
        <v>58</v>
      </c>
      <c r="H75" s="9">
        <v>679301</v>
      </c>
      <c r="J75" t="str">
        <f t="shared" si="30"/>
        <v>G10</v>
      </c>
      <c r="K75" t="str">
        <f t="shared" si="31"/>
        <v>TwoAge</v>
      </c>
      <c r="L75" t="str">
        <f t="shared" si="32"/>
        <v>B05</v>
      </c>
      <c r="M75" t="s">
        <v>23</v>
      </c>
      <c r="N75">
        <v>0.1</v>
      </c>
      <c r="O75" t="s">
        <v>36</v>
      </c>
      <c r="P75" s="9">
        <v>679415</v>
      </c>
      <c r="Q75" s="9">
        <v>650</v>
      </c>
      <c r="S75" s="9">
        <f t="shared" si="33"/>
        <v>114</v>
      </c>
      <c r="T75" s="9">
        <f t="shared" si="34"/>
        <v>536</v>
      </c>
      <c r="V75" t="b">
        <f t="shared" si="35"/>
        <v>1</v>
      </c>
      <c r="W75" t="b">
        <f t="shared" si="36"/>
        <v>1</v>
      </c>
      <c r="X75" t="b">
        <f t="shared" si="37"/>
        <v>1</v>
      </c>
      <c r="Y75" t="b">
        <f t="shared" si="38"/>
        <v>1</v>
      </c>
    </row>
    <row r="76" spans="1:25" x14ac:dyDescent="0.3">
      <c r="A76" t="str">
        <f t="shared" si="26"/>
        <v>Master Model G10 Grizzly XL Relapse_TwoAge_B060.1JAGS_Male_2000</v>
      </c>
      <c r="B76" t="str">
        <f t="shared" si="27"/>
        <v>G10</v>
      </c>
      <c r="C76" t="str">
        <f t="shared" si="28"/>
        <v>TwoAge</v>
      </c>
      <c r="D76" t="str">
        <f t="shared" si="29"/>
        <v>B06</v>
      </c>
      <c r="E76" t="s">
        <v>23</v>
      </c>
      <c r="F76">
        <v>0.1</v>
      </c>
      <c r="G76" t="s">
        <v>59</v>
      </c>
      <c r="H76" s="9">
        <v>679118</v>
      </c>
      <c r="J76" t="str">
        <f t="shared" si="30"/>
        <v>G10</v>
      </c>
      <c r="K76" t="str">
        <f t="shared" si="31"/>
        <v>TwoAge</v>
      </c>
      <c r="L76" t="str">
        <f t="shared" si="32"/>
        <v>B06</v>
      </c>
      <c r="M76" t="s">
        <v>23</v>
      </c>
      <c r="N76">
        <v>0.1</v>
      </c>
      <c r="O76" t="s">
        <v>37</v>
      </c>
      <c r="P76" s="9">
        <v>679204</v>
      </c>
      <c r="Q76" s="9">
        <v>439</v>
      </c>
      <c r="S76" s="9">
        <f t="shared" si="33"/>
        <v>86</v>
      </c>
      <c r="T76" s="9">
        <f t="shared" si="34"/>
        <v>353</v>
      </c>
      <c r="V76" t="b">
        <f t="shared" si="35"/>
        <v>1</v>
      </c>
      <c r="W76" t="b">
        <f t="shared" si="36"/>
        <v>1</v>
      </c>
      <c r="X76" t="b">
        <f t="shared" si="37"/>
        <v>1</v>
      </c>
      <c r="Y76" t="b">
        <f t="shared" si="38"/>
        <v>1</v>
      </c>
    </row>
    <row r="77" spans="1:25" x14ac:dyDescent="0.3">
      <c r="A77" t="str">
        <f t="shared" si="26"/>
        <v>Master Model G10 Grizzly XL Relapse_TwoAge_B070.1JAGS_Male_2000</v>
      </c>
      <c r="B77" t="str">
        <f t="shared" si="27"/>
        <v>G10</v>
      </c>
      <c r="C77" t="str">
        <f t="shared" si="28"/>
        <v>TwoAge</v>
      </c>
      <c r="D77" t="str">
        <f t="shared" si="29"/>
        <v>B07</v>
      </c>
      <c r="E77" t="s">
        <v>23</v>
      </c>
      <c r="F77">
        <v>0.1</v>
      </c>
      <c r="G77" t="s">
        <v>60</v>
      </c>
      <c r="H77" s="9">
        <v>678941</v>
      </c>
      <c r="J77" t="str">
        <f t="shared" si="30"/>
        <v>G10</v>
      </c>
      <c r="K77" t="str">
        <f t="shared" si="31"/>
        <v>TwoAge</v>
      </c>
      <c r="L77" t="str">
        <f t="shared" si="32"/>
        <v>B07</v>
      </c>
      <c r="M77" t="s">
        <v>23</v>
      </c>
      <c r="N77">
        <v>0.1</v>
      </c>
      <c r="O77" t="s">
        <v>38</v>
      </c>
      <c r="P77" s="9">
        <v>678985</v>
      </c>
      <c r="Q77" s="9">
        <v>220</v>
      </c>
      <c r="S77" s="9">
        <f t="shared" si="33"/>
        <v>44</v>
      </c>
      <c r="T77" s="9">
        <f t="shared" si="34"/>
        <v>176</v>
      </c>
      <c r="V77" t="b">
        <f t="shared" si="35"/>
        <v>1</v>
      </c>
      <c r="W77" t="b">
        <f t="shared" si="36"/>
        <v>1</v>
      </c>
      <c r="X77" t="b">
        <f t="shared" si="37"/>
        <v>1</v>
      </c>
      <c r="Y77" t="b">
        <f t="shared" si="38"/>
        <v>1</v>
      </c>
    </row>
    <row r="78" spans="1:25" x14ac:dyDescent="0.3">
      <c r="A78" t="str">
        <f t="shared" si="26"/>
        <v>Master Model G10 Grizzly XL Relapse_TwoAge_B080.1JAGS_Male_2000</v>
      </c>
      <c r="B78" t="str">
        <f t="shared" si="27"/>
        <v>G10</v>
      </c>
      <c r="C78" t="str">
        <f t="shared" si="28"/>
        <v>TwoAge</v>
      </c>
      <c r="D78" t="str">
        <f t="shared" si="29"/>
        <v>B08</v>
      </c>
      <c r="E78" t="s">
        <v>23</v>
      </c>
      <c r="F78">
        <v>0.1</v>
      </c>
      <c r="G78" t="s">
        <v>61</v>
      </c>
      <c r="H78" s="9">
        <v>678828</v>
      </c>
      <c r="J78" t="str">
        <f t="shared" si="30"/>
        <v>G10</v>
      </c>
      <c r="K78" t="str">
        <f t="shared" si="31"/>
        <v>TwoAge</v>
      </c>
      <c r="L78" t="str">
        <f t="shared" si="32"/>
        <v>B08</v>
      </c>
      <c r="M78" t="s">
        <v>23</v>
      </c>
      <c r="N78">
        <v>0.1</v>
      </c>
      <c r="O78" t="s">
        <v>39</v>
      </c>
      <c r="P78" s="9">
        <v>678839</v>
      </c>
      <c r="Q78" s="9">
        <v>73</v>
      </c>
      <c r="S78" s="9">
        <f t="shared" si="33"/>
        <v>11</v>
      </c>
      <c r="T78" s="9">
        <f t="shared" si="34"/>
        <v>62</v>
      </c>
      <c r="V78" t="b">
        <f t="shared" si="35"/>
        <v>1</v>
      </c>
      <c r="W78" t="b">
        <f t="shared" si="36"/>
        <v>1</v>
      </c>
      <c r="X78" t="b">
        <f t="shared" si="37"/>
        <v>1</v>
      </c>
      <c r="Y78" t="b">
        <f t="shared" si="38"/>
        <v>1</v>
      </c>
    </row>
    <row r="79" spans="1:25" x14ac:dyDescent="0.3">
      <c r="A79" t="str">
        <f t="shared" si="26"/>
        <v>Master Model G10 Grizzly XL Relapse_TwoAge_B090.1JAGS_Male_2000</v>
      </c>
      <c r="B79" t="str">
        <f t="shared" si="27"/>
        <v>G10</v>
      </c>
      <c r="C79" t="str">
        <f t="shared" si="28"/>
        <v>TwoAge</v>
      </c>
      <c r="D79" t="str">
        <f t="shared" si="29"/>
        <v>B09</v>
      </c>
      <c r="E79" t="s">
        <v>23</v>
      </c>
      <c r="F79">
        <v>0.1</v>
      </c>
      <c r="G79" t="s">
        <v>62</v>
      </c>
      <c r="H79" s="9">
        <v>678779</v>
      </c>
      <c r="J79" t="str">
        <f t="shared" si="30"/>
        <v>G10</v>
      </c>
      <c r="K79" t="str">
        <f t="shared" si="31"/>
        <v>TwoAge</v>
      </c>
      <c r="L79" t="str">
        <f t="shared" si="32"/>
        <v>B09</v>
      </c>
      <c r="M79" t="s">
        <v>23</v>
      </c>
      <c r="N79">
        <v>0.1</v>
      </c>
      <c r="O79" t="s">
        <v>40</v>
      </c>
      <c r="P79" s="9">
        <v>678786</v>
      </c>
      <c r="Q79" s="9">
        <v>20</v>
      </c>
      <c r="S79" s="9">
        <f t="shared" si="33"/>
        <v>7</v>
      </c>
      <c r="T79" s="9">
        <f t="shared" si="34"/>
        <v>13</v>
      </c>
      <c r="V79" t="b">
        <f t="shared" si="35"/>
        <v>1</v>
      </c>
      <c r="W79" t="b">
        <f t="shared" si="36"/>
        <v>1</v>
      </c>
      <c r="X79" t="b">
        <f t="shared" si="37"/>
        <v>1</v>
      </c>
      <c r="Y79" t="b">
        <f t="shared" si="38"/>
        <v>1</v>
      </c>
    </row>
    <row r="80" spans="1:25" x14ac:dyDescent="0.3">
      <c r="A80" t="str">
        <f t="shared" si="26"/>
        <v>Master Model G10 Grizzly XL Relapse_TwoAge_B100.1JAGS_Male_2000</v>
      </c>
      <c r="B80" t="str">
        <f t="shared" si="27"/>
        <v>G10</v>
      </c>
      <c r="C80" t="str">
        <f t="shared" si="28"/>
        <v>TwoAge</v>
      </c>
      <c r="D80" t="str">
        <f t="shared" si="29"/>
        <v>B10</v>
      </c>
      <c r="E80" t="s">
        <v>23</v>
      </c>
      <c r="F80">
        <v>0.1</v>
      </c>
      <c r="G80" t="s">
        <v>63</v>
      </c>
      <c r="H80" s="9">
        <v>678770</v>
      </c>
      <c r="J80" t="str">
        <f t="shared" si="30"/>
        <v>G10</v>
      </c>
      <c r="K80" t="str">
        <f t="shared" si="31"/>
        <v>TwoAge</v>
      </c>
      <c r="L80" t="str">
        <f t="shared" si="32"/>
        <v>B10</v>
      </c>
      <c r="M80" t="s">
        <v>23</v>
      </c>
      <c r="N80">
        <v>0.1</v>
      </c>
      <c r="O80" t="s">
        <v>41</v>
      </c>
      <c r="P80" s="9">
        <v>678773</v>
      </c>
      <c r="Q80" s="9">
        <v>8</v>
      </c>
      <c r="S80" s="9">
        <f t="shared" si="33"/>
        <v>3</v>
      </c>
      <c r="T80" s="9">
        <f t="shared" si="34"/>
        <v>5</v>
      </c>
      <c r="V80" t="b">
        <f t="shared" si="35"/>
        <v>1</v>
      </c>
      <c r="W80" t="b">
        <f t="shared" si="36"/>
        <v>1</v>
      </c>
      <c r="X80" t="b">
        <f t="shared" si="37"/>
        <v>1</v>
      </c>
      <c r="Y80" t="b">
        <f t="shared" si="38"/>
        <v>1</v>
      </c>
    </row>
    <row r="81" spans="1:25" x14ac:dyDescent="0.3">
      <c r="A81" t="str">
        <f t="shared" si="26"/>
        <v>Master Model G10 Grizzly XL Relapse_TwoAge_B110.1JAGS_Male_2000</v>
      </c>
      <c r="B81" t="str">
        <f t="shared" si="27"/>
        <v>G10</v>
      </c>
      <c r="C81" t="str">
        <f t="shared" si="28"/>
        <v>TwoAge</v>
      </c>
      <c r="D81" t="str">
        <f t="shared" si="29"/>
        <v>B11</v>
      </c>
      <c r="E81" t="s">
        <v>23</v>
      </c>
      <c r="F81">
        <v>0.1</v>
      </c>
      <c r="G81" t="s">
        <v>64</v>
      </c>
      <c r="H81" s="9">
        <v>678767</v>
      </c>
      <c r="J81" t="str">
        <f t="shared" si="30"/>
        <v>G10</v>
      </c>
      <c r="K81" t="str">
        <f t="shared" si="31"/>
        <v>TwoAge</v>
      </c>
      <c r="L81" t="str">
        <f t="shared" si="32"/>
        <v>B11</v>
      </c>
      <c r="M81" t="s">
        <v>23</v>
      </c>
      <c r="N81">
        <v>0.1</v>
      </c>
      <c r="O81" t="s">
        <v>42</v>
      </c>
      <c r="P81" s="9">
        <v>678768</v>
      </c>
      <c r="Q81" s="9">
        <v>2</v>
      </c>
      <c r="S81" s="9">
        <f t="shared" si="33"/>
        <v>1</v>
      </c>
      <c r="T81" s="9">
        <f t="shared" si="34"/>
        <v>1</v>
      </c>
      <c r="V81" t="b">
        <f t="shared" si="35"/>
        <v>1</v>
      </c>
      <c r="W81" t="b">
        <f t="shared" si="36"/>
        <v>1</v>
      </c>
      <c r="X81" t="b">
        <f t="shared" si="37"/>
        <v>1</v>
      </c>
      <c r="Y81" t="b">
        <f t="shared" si="38"/>
        <v>1</v>
      </c>
    </row>
    <row r="82" spans="1:25" x14ac:dyDescent="0.3">
      <c r="A82" t="str">
        <f t="shared" si="26"/>
        <v>Master Model G25 Grizzly XL Relapse_TwoAge_B010.1JAGS_Male_2000</v>
      </c>
      <c r="B82" t="str">
        <f t="shared" si="27"/>
        <v>G25</v>
      </c>
      <c r="C82" t="str">
        <f t="shared" si="28"/>
        <v>TwoAge</v>
      </c>
      <c r="D82" t="str">
        <f t="shared" si="29"/>
        <v>B01</v>
      </c>
      <c r="E82" t="s">
        <v>23</v>
      </c>
      <c r="F82">
        <v>0.1</v>
      </c>
      <c r="G82" t="s">
        <v>65</v>
      </c>
      <c r="H82" s="9">
        <v>680271</v>
      </c>
      <c r="J82" t="str">
        <f t="shared" si="30"/>
        <v>G25</v>
      </c>
      <c r="K82" t="str">
        <f t="shared" si="31"/>
        <v>TwoAge</v>
      </c>
      <c r="L82" t="str">
        <f t="shared" si="32"/>
        <v>B01</v>
      </c>
      <c r="M82" t="s">
        <v>23</v>
      </c>
      <c r="N82">
        <v>0.1</v>
      </c>
      <c r="O82" t="s">
        <v>43</v>
      </c>
      <c r="P82" s="9">
        <v>680463</v>
      </c>
      <c r="Q82" s="9">
        <v>1697</v>
      </c>
      <c r="S82" s="9">
        <f t="shared" si="33"/>
        <v>192</v>
      </c>
      <c r="T82" s="9">
        <f t="shared" si="34"/>
        <v>1505</v>
      </c>
      <c r="V82" t="b">
        <f t="shared" si="35"/>
        <v>1</v>
      </c>
      <c r="W82" t="b">
        <f t="shared" si="36"/>
        <v>1</v>
      </c>
      <c r="X82" t="b">
        <f t="shared" si="37"/>
        <v>1</v>
      </c>
      <c r="Y82" t="b">
        <f t="shared" si="38"/>
        <v>1</v>
      </c>
    </row>
    <row r="83" spans="1:25" x14ac:dyDescent="0.3">
      <c r="A83" t="str">
        <f t="shared" si="26"/>
        <v>Master Model G25 Grizzly XL Relapse_TwoAge_B020.1JAGS_Male_2000</v>
      </c>
      <c r="B83" t="str">
        <f t="shared" si="27"/>
        <v>G25</v>
      </c>
      <c r="C83" t="str">
        <f t="shared" si="28"/>
        <v>TwoAge</v>
      </c>
      <c r="D83" t="str">
        <f t="shared" si="29"/>
        <v>B02</v>
      </c>
      <c r="E83" t="s">
        <v>23</v>
      </c>
      <c r="F83">
        <v>0.1</v>
      </c>
      <c r="G83" t="s">
        <v>66</v>
      </c>
      <c r="H83" s="9">
        <v>680216</v>
      </c>
      <c r="J83" t="str">
        <f t="shared" si="30"/>
        <v>G25</v>
      </c>
      <c r="K83" t="str">
        <f t="shared" si="31"/>
        <v>TwoAge</v>
      </c>
      <c r="L83" t="str">
        <f t="shared" si="32"/>
        <v>B02</v>
      </c>
      <c r="M83" t="s">
        <v>23</v>
      </c>
      <c r="N83">
        <v>0.1</v>
      </c>
      <c r="O83" t="s">
        <v>44</v>
      </c>
      <c r="P83" s="9">
        <v>680412</v>
      </c>
      <c r="Q83" s="9">
        <v>1647</v>
      </c>
      <c r="S83" s="9">
        <f t="shared" si="33"/>
        <v>196</v>
      </c>
      <c r="T83" s="9">
        <f t="shared" si="34"/>
        <v>1451</v>
      </c>
      <c r="V83" t="b">
        <f t="shared" si="35"/>
        <v>1</v>
      </c>
      <c r="W83" t="b">
        <f t="shared" si="36"/>
        <v>1</v>
      </c>
      <c r="X83" t="b">
        <f t="shared" si="37"/>
        <v>1</v>
      </c>
      <c r="Y83" t="b">
        <f t="shared" si="38"/>
        <v>1</v>
      </c>
    </row>
    <row r="84" spans="1:25" x14ac:dyDescent="0.3">
      <c r="A84" t="str">
        <f t="shared" si="26"/>
        <v>Master Model G25 Grizzly XL Relapse_TwoAge_B030.1JAGS_Male_2000</v>
      </c>
      <c r="B84" t="str">
        <f t="shared" si="27"/>
        <v>G25</v>
      </c>
      <c r="C84" t="str">
        <f t="shared" si="28"/>
        <v>TwoAge</v>
      </c>
      <c r="D84" t="str">
        <f t="shared" si="29"/>
        <v>B03</v>
      </c>
      <c r="E84" t="s">
        <v>23</v>
      </c>
      <c r="F84">
        <v>0.1</v>
      </c>
      <c r="G84" t="s">
        <v>67</v>
      </c>
      <c r="H84" s="9">
        <v>679798</v>
      </c>
      <c r="J84" t="str">
        <f t="shared" si="30"/>
        <v>G25</v>
      </c>
      <c r="K84" t="str">
        <f t="shared" si="31"/>
        <v>TwoAge</v>
      </c>
      <c r="L84" t="str">
        <f t="shared" si="32"/>
        <v>B03</v>
      </c>
      <c r="M84" t="s">
        <v>23</v>
      </c>
      <c r="N84">
        <v>0.1</v>
      </c>
      <c r="O84" t="s">
        <v>45</v>
      </c>
      <c r="P84" s="9">
        <v>680005</v>
      </c>
      <c r="Q84" s="9">
        <v>1240</v>
      </c>
      <c r="S84" s="9">
        <f t="shared" si="33"/>
        <v>207</v>
      </c>
      <c r="T84" s="9">
        <f t="shared" si="34"/>
        <v>1033</v>
      </c>
      <c r="V84" t="b">
        <f t="shared" si="35"/>
        <v>1</v>
      </c>
      <c r="W84" t="b">
        <f t="shared" si="36"/>
        <v>1</v>
      </c>
      <c r="X84" t="b">
        <f t="shared" si="37"/>
        <v>1</v>
      </c>
      <c r="Y84" t="b">
        <f t="shared" si="38"/>
        <v>1</v>
      </c>
    </row>
    <row r="85" spans="1:25" x14ac:dyDescent="0.3">
      <c r="A85" t="str">
        <f t="shared" si="26"/>
        <v>Master Model G25 Grizzly XL Relapse_TwoAge_B040.1JAGS_Male_2000</v>
      </c>
      <c r="B85" t="str">
        <f t="shared" si="27"/>
        <v>G25</v>
      </c>
      <c r="C85" t="str">
        <f t="shared" si="28"/>
        <v>TwoAge</v>
      </c>
      <c r="D85" t="str">
        <f t="shared" si="29"/>
        <v>B04</v>
      </c>
      <c r="E85" t="s">
        <v>23</v>
      </c>
      <c r="F85">
        <v>0.1</v>
      </c>
      <c r="G85" t="s">
        <v>68</v>
      </c>
      <c r="H85" s="9">
        <v>679533</v>
      </c>
      <c r="J85" t="str">
        <f t="shared" si="30"/>
        <v>G25</v>
      </c>
      <c r="K85" t="str">
        <f t="shared" si="31"/>
        <v>TwoAge</v>
      </c>
      <c r="L85" t="str">
        <f t="shared" si="32"/>
        <v>B04</v>
      </c>
      <c r="M85" t="s">
        <v>23</v>
      </c>
      <c r="N85">
        <v>0.1</v>
      </c>
      <c r="O85" t="s">
        <v>46</v>
      </c>
      <c r="P85" s="9">
        <v>679713</v>
      </c>
      <c r="Q85" s="9">
        <v>948</v>
      </c>
      <c r="S85" s="9">
        <f t="shared" si="33"/>
        <v>180</v>
      </c>
      <c r="T85" s="9">
        <f t="shared" si="34"/>
        <v>768</v>
      </c>
      <c r="V85" t="b">
        <f t="shared" si="35"/>
        <v>1</v>
      </c>
      <c r="W85" t="b">
        <f t="shared" si="36"/>
        <v>1</v>
      </c>
      <c r="X85" t="b">
        <f t="shared" si="37"/>
        <v>1</v>
      </c>
      <c r="Y85" t="b">
        <f t="shared" si="38"/>
        <v>1</v>
      </c>
    </row>
    <row r="86" spans="1:25" x14ac:dyDescent="0.3">
      <c r="A86" t="str">
        <f t="shared" si="26"/>
        <v>Master Model G25 Grizzly XL Relapse_TwoAge_B050.1JAGS_Male_2000</v>
      </c>
      <c r="B86" t="str">
        <f t="shared" si="27"/>
        <v>G25</v>
      </c>
      <c r="C86" t="str">
        <f t="shared" si="28"/>
        <v>TwoAge</v>
      </c>
      <c r="D86" t="str">
        <f t="shared" si="29"/>
        <v>B05</v>
      </c>
      <c r="E86" t="s">
        <v>23</v>
      </c>
      <c r="F86">
        <v>0.1</v>
      </c>
      <c r="G86" t="s">
        <v>69</v>
      </c>
      <c r="H86" s="9">
        <v>679301</v>
      </c>
      <c r="J86" t="str">
        <f t="shared" si="30"/>
        <v>G25</v>
      </c>
      <c r="K86" t="str">
        <f t="shared" si="31"/>
        <v>TwoAge</v>
      </c>
      <c r="L86" t="str">
        <f t="shared" si="32"/>
        <v>B05</v>
      </c>
      <c r="M86" t="s">
        <v>23</v>
      </c>
      <c r="N86">
        <v>0.1</v>
      </c>
      <c r="O86" t="s">
        <v>47</v>
      </c>
      <c r="P86" s="9">
        <v>679415</v>
      </c>
      <c r="Q86" s="9">
        <v>650</v>
      </c>
      <c r="S86" s="9">
        <f t="shared" si="33"/>
        <v>114</v>
      </c>
      <c r="T86" s="9">
        <f t="shared" si="34"/>
        <v>536</v>
      </c>
      <c r="V86" t="b">
        <f t="shared" si="35"/>
        <v>1</v>
      </c>
      <c r="W86" t="b">
        <f t="shared" si="36"/>
        <v>1</v>
      </c>
      <c r="X86" t="b">
        <f t="shared" si="37"/>
        <v>1</v>
      </c>
      <c r="Y86" t="b">
        <f t="shared" si="38"/>
        <v>1</v>
      </c>
    </row>
    <row r="87" spans="1:25" x14ac:dyDescent="0.3">
      <c r="A87" t="str">
        <f t="shared" si="26"/>
        <v>Master Model G25 Grizzly XL Relapse_TwoAge_B060.1JAGS_Male_2000</v>
      </c>
      <c r="B87" t="str">
        <f t="shared" si="27"/>
        <v>G25</v>
      </c>
      <c r="C87" t="str">
        <f t="shared" si="28"/>
        <v>TwoAge</v>
      </c>
      <c r="D87" t="str">
        <f t="shared" si="29"/>
        <v>B06</v>
      </c>
      <c r="E87" t="s">
        <v>23</v>
      </c>
      <c r="F87">
        <v>0.1</v>
      </c>
      <c r="G87" t="s">
        <v>70</v>
      </c>
      <c r="H87" s="9">
        <v>679118</v>
      </c>
      <c r="J87" t="str">
        <f t="shared" si="30"/>
        <v>G25</v>
      </c>
      <c r="K87" t="str">
        <f t="shared" si="31"/>
        <v>TwoAge</v>
      </c>
      <c r="L87" t="str">
        <f t="shared" si="32"/>
        <v>B06</v>
      </c>
      <c r="M87" t="s">
        <v>23</v>
      </c>
      <c r="N87">
        <v>0.1</v>
      </c>
      <c r="O87" t="s">
        <v>48</v>
      </c>
      <c r="P87" s="9">
        <v>679204</v>
      </c>
      <c r="Q87" s="9">
        <v>439</v>
      </c>
      <c r="S87" s="9">
        <f t="shared" si="33"/>
        <v>86</v>
      </c>
      <c r="T87" s="9">
        <f t="shared" si="34"/>
        <v>353</v>
      </c>
      <c r="V87" t="b">
        <f t="shared" si="35"/>
        <v>1</v>
      </c>
      <c r="W87" t="b">
        <f t="shared" si="36"/>
        <v>1</v>
      </c>
      <c r="X87" t="b">
        <f t="shared" si="37"/>
        <v>1</v>
      </c>
      <c r="Y87" t="b">
        <f t="shared" si="38"/>
        <v>1</v>
      </c>
    </row>
    <row r="88" spans="1:25" x14ac:dyDescent="0.3">
      <c r="A88" t="str">
        <f t="shared" si="26"/>
        <v>Master Model G25 Grizzly XL Relapse_TwoAge_B070.1JAGS_Male_2000</v>
      </c>
      <c r="B88" t="str">
        <f t="shared" si="27"/>
        <v>G25</v>
      </c>
      <c r="C88" t="str">
        <f t="shared" si="28"/>
        <v>TwoAge</v>
      </c>
      <c r="D88" t="str">
        <f t="shared" si="29"/>
        <v>B07</v>
      </c>
      <c r="E88" t="s">
        <v>23</v>
      </c>
      <c r="F88">
        <v>0.1</v>
      </c>
      <c r="G88" t="s">
        <v>71</v>
      </c>
      <c r="H88" s="9">
        <v>678941</v>
      </c>
      <c r="J88" t="str">
        <f t="shared" si="30"/>
        <v>G25</v>
      </c>
      <c r="K88" t="str">
        <f t="shared" si="31"/>
        <v>TwoAge</v>
      </c>
      <c r="L88" t="str">
        <f t="shared" si="32"/>
        <v>B07</v>
      </c>
      <c r="M88" t="s">
        <v>23</v>
      </c>
      <c r="N88">
        <v>0.1</v>
      </c>
      <c r="O88" t="s">
        <v>49</v>
      </c>
      <c r="P88" s="9">
        <v>678985</v>
      </c>
      <c r="Q88" s="9">
        <v>220</v>
      </c>
      <c r="S88" s="9">
        <f t="shared" si="33"/>
        <v>44</v>
      </c>
      <c r="T88" s="9">
        <f t="shared" si="34"/>
        <v>176</v>
      </c>
      <c r="V88" t="b">
        <f t="shared" si="35"/>
        <v>1</v>
      </c>
      <c r="W88" t="b">
        <f t="shared" si="36"/>
        <v>1</v>
      </c>
      <c r="X88" t="b">
        <f t="shared" si="37"/>
        <v>1</v>
      </c>
      <c r="Y88" t="b">
        <f t="shared" si="38"/>
        <v>1</v>
      </c>
    </row>
    <row r="89" spans="1:25" x14ac:dyDescent="0.3">
      <c r="A89" t="str">
        <f t="shared" si="26"/>
        <v>Master Model G25 Grizzly XL Relapse_TwoAge_B080.1JAGS_Male_2000</v>
      </c>
      <c r="B89" t="str">
        <f t="shared" si="27"/>
        <v>G25</v>
      </c>
      <c r="C89" t="str">
        <f t="shared" si="28"/>
        <v>TwoAge</v>
      </c>
      <c r="D89" t="str">
        <f t="shared" si="29"/>
        <v>B08</v>
      </c>
      <c r="E89" t="s">
        <v>23</v>
      </c>
      <c r="F89">
        <v>0.1</v>
      </c>
      <c r="G89" t="s">
        <v>72</v>
      </c>
      <c r="H89" s="9">
        <v>678828</v>
      </c>
      <c r="J89" t="str">
        <f t="shared" si="30"/>
        <v>G25</v>
      </c>
      <c r="K89" t="str">
        <f t="shared" si="31"/>
        <v>TwoAge</v>
      </c>
      <c r="L89" t="str">
        <f t="shared" si="32"/>
        <v>B08</v>
      </c>
      <c r="M89" t="s">
        <v>23</v>
      </c>
      <c r="N89">
        <v>0.1</v>
      </c>
      <c r="O89" t="s">
        <v>50</v>
      </c>
      <c r="P89" s="9">
        <v>678839</v>
      </c>
      <c r="Q89" s="9">
        <v>73</v>
      </c>
      <c r="S89" s="9">
        <f t="shared" si="33"/>
        <v>11</v>
      </c>
      <c r="T89" s="9">
        <f t="shared" si="34"/>
        <v>62</v>
      </c>
      <c r="V89" t="b">
        <f t="shared" si="35"/>
        <v>1</v>
      </c>
      <c r="W89" t="b">
        <f t="shared" si="36"/>
        <v>1</v>
      </c>
      <c r="X89" t="b">
        <f t="shared" si="37"/>
        <v>1</v>
      </c>
      <c r="Y89" t="b">
        <f t="shared" si="38"/>
        <v>1</v>
      </c>
    </row>
    <row r="90" spans="1:25" x14ac:dyDescent="0.3">
      <c r="A90" t="str">
        <f t="shared" si="26"/>
        <v>Master Model G25 Grizzly XL Relapse_TwoAge_B090.1JAGS_Male_2000</v>
      </c>
      <c r="B90" t="str">
        <f t="shared" si="27"/>
        <v>G25</v>
      </c>
      <c r="C90" t="str">
        <f t="shared" si="28"/>
        <v>TwoAge</v>
      </c>
      <c r="D90" t="str">
        <f t="shared" si="29"/>
        <v>B09</v>
      </c>
      <c r="E90" t="s">
        <v>23</v>
      </c>
      <c r="F90">
        <v>0.1</v>
      </c>
      <c r="G90" t="s">
        <v>73</v>
      </c>
      <c r="H90" s="9">
        <v>678779</v>
      </c>
      <c r="J90" t="str">
        <f t="shared" si="30"/>
        <v>G25</v>
      </c>
      <c r="K90" t="str">
        <f t="shared" si="31"/>
        <v>TwoAge</v>
      </c>
      <c r="L90" t="str">
        <f t="shared" si="32"/>
        <v>B09</v>
      </c>
      <c r="M90" t="s">
        <v>23</v>
      </c>
      <c r="N90">
        <v>0.1</v>
      </c>
      <c r="O90" t="s">
        <v>51</v>
      </c>
      <c r="P90" s="9">
        <v>678786</v>
      </c>
      <c r="Q90" s="9">
        <v>20</v>
      </c>
      <c r="S90" s="9">
        <f t="shared" si="33"/>
        <v>7</v>
      </c>
      <c r="T90" s="9">
        <f t="shared" si="34"/>
        <v>13</v>
      </c>
      <c r="V90" t="b">
        <f t="shared" si="35"/>
        <v>1</v>
      </c>
      <c r="W90" t="b">
        <f t="shared" si="36"/>
        <v>1</v>
      </c>
      <c r="X90" t="b">
        <f t="shared" si="37"/>
        <v>1</v>
      </c>
      <c r="Y90" t="b">
        <f t="shared" si="38"/>
        <v>1</v>
      </c>
    </row>
    <row r="91" spans="1:25" x14ac:dyDescent="0.3">
      <c r="A91" t="str">
        <f t="shared" si="26"/>
        <v>Master Model G25 Grizzly XL Relapse_TwoAge_B100.1JAGS_Male_2000</v>
      </c>
      <c r="B91" t="str">
        <f t="shared" si="27"/>
        <v>G25</v>
      </c>
      <c r="C91" t="str">
        <f t="shared" si="28"/>
        <v>TwoAge</v>
      </c>
      <c r="D91" t="str">
        <f t="shared" si="29"/>
        <v>B10</v>
      </c>
      <c r="E91" t="s">
        <v>23</v>
      </c>
      <c r="F91">
        <v>0.1</v>
      </c>
      <c r="G91" t="s">
        <v>74</v>
      </c>
      <c r="H91" s="9">
        <v>678770</v>
      </c>
      <c r="J91" t="str">
        <f t="shared" si="30"/>
        <v>G25</v>
      </c>
      <c r="K91" t="str">
        <f t="shared" si="31"/>
        <v>TwoAge</v>
      </c>
      <c r="L91" t="str">
        <f t="shared" si="32"/>
        <v>B10</v>
      </c>
      <c r="M91" t="s">
        <v>23</v>
      </c>
      <c r="N91">
        <v>0.1</v>
      </c>
      <c r="O91" t="s">
        <v>52</v>
      </c>
      <c r="P91" s="9">
        <v>678773</v>
      </c>
      <c r="Q91" s="9">
        <v>8</v>
      </c>
      <c r="S91" s="9">
        <f t="shared" si="33"/>
        <v>3</v>
      </c>
      <c r="T91" s="9">
        <f t="shared" si="34"/>
        <v>5</v>
      </c>
      <c r="V91" t="b">
        <f t="shared" si="35"/>
        <v>1</v>
      </c>
      <c r="W91" t="b">
        <f t="shared" si="36"/>
        <v>1</v>
      </c>
      <c r="X91" t="b">
        <f t="shared" si="37"/>
        <v>1</v>
      </c>
      <c r="Y91" t="b">
        <f t="shared" si="38"/>
        <v>1</v>
      </c>
    </row>
    <row r="92" spans="1:25" x14ac:dyDescent="0.3">
      <c r="A92" t="str">
        <f t="shared" si="26"/>
        <v>Master Model G25 Grizzly XL Relapse_TwoAge_B110.1JAGS_Male_2000</v>
      </c>
      <c r="B92" t="str">
        <f t="shared" si="27"/>
        <v>G25</v>
      </c>
      <c r="C92" t="str">
        <f t="shared" si="28"/>
        <v>TwoAge</v>
      </c>
      <c r="D92" t="str">
        <f t="shared" si="29"/>
        <v>B11</v>
      </c>
      <c r="E92" t="s">
        <v>23</v>
      </c>
      <c r="F92">
        <v>0.1</v>
      </c>
      <c r="G92" t="s">
        <v>75</v>
      </c>
      <c r="H92" s="9">
        <v>678767</v>
      </c>
      <c r="J92" t="str">
        <f t="shared" si="30"/>
        <v>G25</v>
      </c>
      <c r="K92" t="str">
        <f t="shared" si="31"/>
        <v>TwoAge</v>
      </c>
      <c r="L92" t="str">
        <f t="shared" si="32"/>
        <v>B11</v>
      </c>
      <c r="M92" t="s">
        <v>23</v>
      </c>
      <c r="N92">
        <v>0.1</v>
      </c>
      <c r="O92" t="s">
        <v>53</v>
      </c>
      <c r="P92" s="9">
        <v>678768</v>
      </c>
      <c r="Q92" s="9">
        <v>2</v>
      </c>
      <c r="S92" s="9">
        <f t="shared" si="33"/>
        <v>1</v>
      </c>
      <c r="T92" s="9">
        <f t="shared" si="34"/>
        <v>1</v>
      </c>
      <c r="V92" t="b">
        <f t="shared" si="35"/>
        <v>1</v>
      </c>
      <c r="W92" t="b">
        <f t="shared" si="36"/>
        <v>1</v>
      </c>
      <c r="X92" t="b">
        <f t="shared" si="37"/>
        <v>1</v>
      </c>
      <c r="Y92" t="b">
        <f t="shared" si="38"/>
        <v>1</v>
      </c>
    </row>
  </sheetData>
  <conditionalFormatting sqref="V5:Y92">
    <cfRule type="expression" dxfId="1" priority="1" stopIfTrue="1">
      <formula>V5=TRUE</formula>
    </cfRule>
    <cfRule type="expression" dxfId="0" priority="2" stopIfTrue="1">
      <formula>V5=FALSE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5" customWidth="1"/>
    <col min="2" max="2" width="54" customWidth="1"/>
    <col min="3" max="3" width="18" customWidth="1"/>
    <col min="4" max="4" width="6" customWidth="1"/>
    <col min="5" max="5" width="17" customWidth="1"/>
    <col min="6" max="6" width="43" customWidth="1"/>
    <col min="7" max="7" width="11" customWidth="1"/>
    <col min="8" max="8" width="10" customWidth="1"/>
    <col min="9" max="9" width="14" customWidth="1"/>
    <col min="10" max="10" width="55" customWidth="1"/>
    <col min="11" max="12" width="8" customWidth="1"/>
    <col min="13" max="13" width="25" customWidth="1"/>
    <col min="14" max="14" width="24" customWidth="1"/>
    <col min="15" max="15" width="28" customWidth="1"/>
    <col min="16" max="16" width="13" customWidth="1"/>
    <col min="17" max="17" width="11" customWidth="1"/>
  </cols>
  <sheetData>
    <row r="1" spans="1:17" x14ac:dyDescent="0.3">
      <c r="A1" s="20" t="s">
        <v>0</v>
      </c>
    </row>
    <row r="2" spans="1:17" x14ac:dyDescent="0.3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91</v>
      </c>
      <c r="J2" s="21" t="s">
        <v>92</v>
      </c>
      <c r="K2" s="21" t="s">
        <v>9</v>
      </c>
      <c r="L2" s="21" t="s">
        <v>93</v>
      </c>
      <c r="M2" s="21" t="s">
        <v>10</v>
      </c>
      <c r="N2" s="21" t="s">
        <v>11</v>
      </c>
      <c r="O2" s="21" t="s">
        <v>18</v>
      </c>
      <c r="P2" s="21" t="s">
        <v>19</v>
      </c>
      <c r="Q2" s="21" t="s">
        <v>20</v>
      </c>
    </row>
    <row r="3" spans="1:17" x14ac:dyDescent="0.3">
      <c r="A3" t="s">
        <v>21</v>
      </c>
      <c r="B3" t="s">
        <v>22</v>
      </c>
      <c r="C3" t="s">
        <v>23</v>
      </c>
      <c r="D3">
        <v>0.05</v>
      </c>
      <c r="E3" t="s">
        <v>24</v>
      </c>
      <c r="F3" t="s">
        <v>25</v>
      </c>
      <c r="G3" t="s">
        <v>26</v>
      </c>
      <c r="H3" t="s">
        <v>27</v>
      </c>
      <c r="I3" s="9">
        <v>2679</v>
      </c>
      <c r="J3" t="str">
        <f t="shared" ref="J3:J34" si="0">B3&amp;D3&amp;C3</f>
        <v>Master Model G10 Grizzly XL_TwoAge_5a_6a_14b_15a_B010.05JAGS_Male_2000</v>
      </c>
      <c r="K3" s="9">
        <v>2679</v>
      </c>
      <c r="L3" s="9">
        <f>ROUND(IF(ISNUMBER(SEARCH("Relapse",J3)),_xlfn.XLOOKUP(J3,'Pivot and Calcs'!A:A,'Pivot and Calcs'!T:T),I3),0)</f>
        <v>2679</v>
      </c>
      <c r="M3">
        <v>0.01</v>
      </c>
      <c r="N3">
        <v>9.9999997764825821E-3</v>
      </c>
      <c r="O3" s="22">
        <v>46254.035705300928</v>
      </c>
      <c r="P3" t="s">
        <v>29</v>
      </c>
      <c r="Q3" t="s">
        <v>30</v>
      </c>
    </row>
    <row r="4" spans="1:17" x14ac:dyDescent="0.3">
      <c r="A4" t="s">
        <v>21</v>
      </c>
      <c r="B4" t="s">
        <v>22</v>
      </c>
      <c r="C4" t="s">
        <v>23</v>
      </c>
      <c r="D4">
        <v>0.1</v>
      </c>
      <c r="E4" t="s">
        <v>24</v>
      </c>
      <c r="F4" t="s">
        <v>25</v>
      </c>
      <c r="G4" t="s">
        <v>26</v>
      </c>
      <c r="H4" t="s">
        <v>27</v>
      </c>
      <c r="I4" s="9">
        <v>2047</v>
      </c>
      <c r="J4" t="str">
        <f t="shared" si="0"/>
        <v>Master Model G10 Grizzly XL_TwoAge_5a_6a_14b_15a_B010.1JAGS_Male_2000</v>
      </c>
      <c r="K4" s="9">
        <v>2047</v>
      </c>
      <c r="L4" s="9">
        <f>ROUND(IF(ISNUMBER(SEARCH("Relapse",J4)),_xlfn.XLOOKUP(J4,'Pivot and Calcs'!A:A,'Pivot and Calcs'!T:T),I4),0)</f>
        <v>2047</v>
      </c>
      <c r="M4">
        <v>0.01</v>
      </c>
      <c r="N4">
        <v>9.9999997764825821E-3</v>
      </c>
      <c r="O4" s="22">
        <v>46254.035705300928</v>
      </c>
      <c r="P4" t="s">
        <v>29</v>
      </c>
      <c r="Q4" t="s">
        <v>30</v>
      </c>
    </row>
    <row r="5" spans="1:17" x14ac:dyDescent="0.3">
      <c r="A5" t="s">
        <v>21</v>
      </c>
      <c r="B5" t="s">
        <v>22</v>
      </c>
      <c r="C5" t="s">
        <v>32</v>
      </c>
      <c r="D5">
        <v>0.05</v>
      </c>
      <c r="E5" t="s">
        <v>24</v>
      </c>
      <c r="F5" t="s">
        <v>25</v>
      </c>
      <c r="G5" t="s">
        <v>26</v>
      </c>
      <c r="H5" t="s">
        <v>27</v>
      </c>
      <c r="I5" s="9">
        <v>2294</v>
      </c>
      <c r="J5" t="str">
        <f t="shared" si="0"/>
        <v>Master Model G10 Grizzly XL_TwoAge_5a_6a_14b_15a_B010.05JAGS_Female_2000</v>
      </c>
      <c r="K5" s="9">
        <v>2294</v>
      </c>
      <c r="L5" s="9">
        <f>ROUND(IF(ISNUMBER(SEARCH("Relapse",J5)),_xlfn.XLOOKUP(J5,'Pivot and Calcs'!A:A,'Pivot and Calcs'!T:T),I5),0)</f>
        <v>2294</v>
      </c>
      <c r="M5">
        <v>0.01</v>
      </c>
      <c r="N5">
        <v>9.9999997764825821E-3</v>
      </c>
      <c r="O5" s="22">
        <v>46254.035705300928</v>
      </c>
      <c r="P5" t="s">
        <v>29</v>
      </c>
      <c r="Q5" t="s">
        <v>30</v>
      </c>
    </row>
    <row r="6" spans="1:17" x14ac:dyDescent="0.3">
      <c r="A6" t="s">
        <v>21</v>
      </c>
      <c r="B6" t="s">
        <v>22</v>
      </c>
      <c r="C6" t="s">
        <v>32</v>
      </c>
      <c r="D6">
        <v>0.1</v>
      </c>
      <c r="E6" t="s">
        <v>24</v>
      </c>
      <c r="F6" t="s">
        <v>25</v>
      </c>
      <c r="G6" t="s">
        <v>26</v>
      </c>
      <c r="H6" t="s">
        <v>27</v>
      </c>
      <c r="I6" s="9">
        <v>1783</v>
      </c>
      <c r="J6" t="str">
        <f t="shared" si="0"/>
        <v>Master Model G10 Grizzly XL_TwoAge_5a_6a_14b_15a_B010.1JAGS_Female_2000</v>
      </c>
      <c r="K6" s="9">
        <v>1783</v>
      </c>
      <c r="L6" s="9">
        <f>ROUND(IF(ISNUMBER(SEARCH("Relapse",J6)),_xlfn.XLOOKUP(J6,'Pivot and Calcs'!A:A,'Pivot and Calcs'!T:T),I6),0)</f>
        <v>1783</v>
      </c>
      <c r="M6">
        <v>0.01</v>
      </c>
      <c r="N6">
        <v>9.9999997764825821E-3</v>
      </c>
      <c r="O6" s="22">
        <v>46254.035705300928</v>
      </c>
      <c r="P6" t="s">
        <v>29</v>
      </c>
      <c r="Q6" t="s">
        <v>30</v>
      </c>
    </row>
    <row r="7" spans="1:17" x14ac:dyDescent="0.3">
      <c r="A7" t="s">
        <v>21</v>
      </c>
      <c r="B7" t="s">
        <v>33</v>
      </c>
      <c r="C7" t="s">
        <v>23</v>
      </c>
      <c r="D7">
        <v>0.05</v>
      </c>
      <c r="E7" t="s">
        <v>24</v>
      </c>
      <c r="F7" t="s">
        <v>25</v>
      </c>
      <c r="G7" t="s">
        <v>26</v>
      </c>
      <c r="H7" t="s">
        <v>27</v>
      </c>
      <c r="I7" s="9">
        <v>2392</v>
      </c>
      <c r="J7" t="str">
        <f t="shared" si="0"/>
        <v>Master Model G10 Grizzly XL_TwoAge_5a_6a_14b_15a_B020.05JAGS_Male_2000</v>
      </c>
      <c r="K7" s="9">
        <v>2392</v>
      </c>
      <c r="L7" s="9">
        <f>ROUND(IF(ISNUMBER(SEARCH("Relapse",J7)),_xlfn.XLOOKUP(J7,'Pivot and Calcs'!A:A,'Pivot and Calcs'!T:T),I7),0)</f>
        <v>2392</v>
      </c>
      <c r="M7">
        <v>0.01</v>
      </c>
      <c r="N7">
        <v>9.9999997764825821E-3</v>
      </c>
      <c r="O7" s="22">
        <v>46254.035705300928</v>
      </c>
      <c r="P7" t="s">
        <v>29</v>
      </c>
      <c r="Q7" t="s">
        <v>30</v>
      </c>
    </row>
    <row r="8" spans="1:17" x14ac:dyDescent="0.3">
      <c r="A8" t="s">
        <v>21</v>
      </c>
      <c r="B8" t="s">
        <v>33</v>
      </c>
      <c r="C8" t="s">
        <v>23</v>
      </c>
      <c r="D8">
        <v>0.1</v>
      </c>
      <c r="E8" t="s">
        <v>24</v>
      </c>
      <c r="F8" t="s">
        <v>25</v>
      </c>
      <c r="G8" t="s">
        <v>26</v>
      </c>
      <c r="H8" t="s">
        <v>27</v>
      </c>
      <c r="I8" s="9">
        <v>1908</v>
      </c>
      <c r="J8" t="str">
        <f t="shared" si="0"/>
        <v>Master Model G10 Grizzly XL_TwoAge_5a_6a_14b_15a_B020.1JAGS_Male_2000</v>
      </c>
      <c r="K8" s="9">
        <v>1908</v>
      </c>
      <c r="L8" s="9">
        <f>ROUND(IF(ISNUMBER(SEARCH("Relapse",J8)),_xlfn.XLOOKUP(J8,'Pivot and Calcs'!A:A,'Pivot and Calcs'!T:T),I8),0)</f>
        <v>1908</v>
      </c>
      <c r="M8">
        <v>0.01</v>
      </c>
      <c r="N8">
        <v>9.9999997764825821E-3</v>
      </c>
      <c r="O8" s="22">
        <v>46254.035705300928</v>
      </c>
      <c r="P8" t="s">
        <v>29</v>
      </c>
      <c r="Q8" t="s">
        <v>30</v>
      </c>
    </row>
    <row r="9" spans="1:17" x14ac:dyDescent="0.3">
      <c r="A9" t="s">
        <v>21</v>
      </c>
      <c r="B9" t="s">
        <v>33</v>
      </c>
      <c r="C9" t="s">
        <v>32</v>
      </c>
      <c r="D9">
        <v>0.05</v>
      </c>
      <c r="E9" t="s">
        <v>24</v>
      </c>
      <c r="F9" t="s">
        <v>25</v>
      </c>
      <c r="G9" t="s">
        <v>26</v>
      </c>
      <c r="H9" t="s">
        <v>27</v>
      </c>
      <c r="I9" s="9">
        <v>2012</v>
      </c>
      <c r="J9" t="str">
        <f t="shared" si="0"/>
        <v>Master Model G10 Grizzly XL_TwoAge_5a_6a_14b_15a_B020.05JAGS_Female_2000</v>
      </c>
      <c r="K9" s="9">
        <v>2012</v>
      </c>
      <c r="L9" s="9">
        <f>ROUND(IF(ISNUMBER(SEARCH("Relapse",J9)),_xlfn.XLOOKUP(J9,'Pivot and Calcs'!A:A,'Pivot and Calcs'!T:T),I9),0)</f>
        <v>2012</v>
      </c>
      <c r="M9">
        <v>0.01</v>
      </c>
      <c r="N9">
        <v>9.9999997764825821E-3</v>
      </c>
      <c r="O9" s="22">
        <v>46254.035705300928</v>
      </c>
      <c r="P9" t="s">
        <v>29</v>
      </c>
      <c r="Q9" t="s">
        <v>30</v>
      </c>
    </row>
    <row r="10" spans="1:17" x14ac:dyDescent="0.3">
      <c r="A10" t="s">
        <v>21</v>
      </c>
      <c r="B10" t="s">
        <v>33</v>
      </c>
      <c r="C10" t="s">
        <v>32</v>
      </c>
      <c r="D10">
        <v>0.1</v>
      </c>
      <c r="E10" t="s">
        <v>24</v>
      </c>
      <c r="F10" t="s">
        <v>25</v>
      </c>
      <c r="G10" t="s">
        <v>26</v>
      </c>
      <c r="H10" t="s">
        <v>27</v>
      </c>
      <c r="I10" s="9">
        <v>1622</v>
      </c>
      <c r="J10" t="str">
        <f t="shared" si="0"/>
        <v>Master Model G10 Grizzly XL_TwoAge_5a_6a_14b_15a_B020.1JAGS_Female_2000</v>
      </c>
      <c r="K10" s="9">
        <v>1622</v>
      </c>
      <c r="L10" s="9">
        <f>ROUND(IF(ISNUMBER(SEARCH("Relapse",J10)),_xlfn.XLOOKUP(J10,'Pivot and Calcs'!A:A,'Pivot and Calcs'!T:T),I10),0)</f>
        <v>1622</v>
      </c>
      <c r="M10">
        <v>0.01</v>
      </c>
      <c r="N10">
        <v>9.9999997764825821E-3</v>
      </c>
      <c r="O10" s="22">
        <v>46254.035705300928</v>
      </c>
      <c r="P10" t="s">
        <v>29</v>
      </c>
      <c r="Q10" t="s">
        <v>30</v>
      </c>
    </row>
    <row r="11" spans="1:17" x14ac:dyDescent="0.3">
      <c r="A11" t="s">
        <v>21</v>
      </c>
      <c r="B11" t="s">
        <v>34</v>
      </c>
      <c r="C11" t="s">
        <v>23</v>
      </c>
      <c r="D11">
        <v>0.05</v>
      </c>
      <c r="E11" t="s">
        <v>24</v>
      </c>
      <c r="F11" t="s">
        <v>25</v>
      </c>
      <c r="G11" t="s">
        <v>26</v>
      </c>
      <c r="H11" t="s">
        <v>27</v>
      </c>
      <c r="I11" s="9">
        <v>1590</v>
      </c>
      <c r="J11" t="str">
        <f t="shared" si="0"/>
        <v>Master Model G10 Grizzly XL_TwoAge_5a_6a_14b_15a_B030.05JAGS_Male_2000</v>
      </c>
      <c r="K11" s="9">
        <v>1590</v>
      </c>
      <c r="L11" s="9">
        <f>ROUND(IF(ISNUMBER(SEARCH("Relapse",J11)),_xlfn.XLOOKUP(J11,'Pivot and Calcs'!A:A,'Pivot and Calcs'!T:T),I11),0)</f>
        <v>1590</v>
      </c>
      <c r="M11">
        <v>0.01</v>
      </c>
      <c r="N11">
        <v>9.9999997764825821E-3</v>
      </c>
      <c r="O11" s="22">
        <v>46254.035705300928</v>
      </c>
      <c r="P11" t="s">
        <v>29</v>
      </c>
      <c r="Q11" t="s">
        <v>30</v>
      </c>
    </row>
    <row r="12" spans="1:17" x14ac:dyDescent="0.3">
      <c r="A12" t="s">
        <v>21</v>
      </c>
      <c r="B12" t="s">
        <v>34</v>
      </c>
      <c r="C12" t="s">
        <v>23</v>
      </c>
      <c r="D12">
        <v>0.1</v>
      </c>
      <c r="E12" t="s">
        <v>24</v>
      </c>
      <c r="F12" t="s">
        <v>25</v>
      </c>
      <c r="G12" t="s">
        <v>26</v>
      </c>
      <c r="H12" t="s">
        <v>27</v>
      </c>
      <c r="I12" s="9">
        <v>1337</v>
      </c>
      <c r="J12" t="str">
        <f t="shared" si="0"/>
        <v>Master Model G10 Grizzly XL_TwoAge_5a_6a_14b_15a_B030.1JAGS_Male_2000</v>
      </c>
      <c r="K12" s="9">
        <v>1337</v>
      </c>
      <c r="L12" s="9">
        <f>ROUND(IF(ISNUMBER(SEARCH("Relapse",J12)),_xlfn.XLOOKUP(J12,'Pivot and Calcs'!A:A,'Pivot and Calcs'!T:T),I12),0)</f>
        <v>1337</v>
      </c>
      <c r="M12">
        <v>0.01</v>
      </c>
      <c r="N12">
        <v>9.9999997764825821E-3</v>
      </c>
      <c r="O12" s="22">
        <v>46254.035705300928</v>
      </c>
      <c r="P12" t="s">
        <v>29</v>
      </c>
      <c r="Q12" t="s">
        <v>30</v>
      </c>
    </row>
    <row r="13" spans="1:17" x14ac:dyDescent="0.3">
      <c r="A13" t="s">
        <v>21</v>
      </c>
      <c r="B13" t="s">
        <v>34</v>
      </c>
      <c r="C13" t="s">
        <v>32</v>
      </c>
      <c r="D13">
        <v>0.05</v>
      </c>
      <c r="E13" t="s">
        <v>24</v>
      </c>
      <c r="F13" t="s">
        <v>25</v>
      </c>
      <c r="G13" t="s">
        <v>26</v>
      </c>
      <c r="H13" t="s">
        <v>27</v>
      </c>
      <c r="I13" s="9">
        <v>1279</v>
      </c>
      <c r="J13" t="str">
        <f t="shared" si="0"/>
        <v>Master Model G10 Grizzly XL_TwoAge_5a_6a_14b_15a_B030.05JAGS_Female_2000</v>
      </c>
      <c r="K13" s="9">
        <v>1279</v>
      </c>
      <c r="L13" s="9">
        <f>ROUND(IF(ISNUMBER(SEARCH("Relapse",J13)),_xlfn.XLOOKUP(J13,'Pivot and Calcs'!A:A,'Pivot and Calcs'!T:T),I13),0)</f>
        <v>1279</v>
      </c>
      <c r="M13">
        <v>0.01</v>
      </c>
      <c r="N13">
        <v>9.9999997764825821E-3</v>
      </c>
      <c r="O13" s="22">
        <v>46254.035705312497</v>
      </c>
      <c r="P13" t="s">
        <v>29</v>
      </c>
      <c r="Q13" t="s">
        <v>30</v>
      </c>
    </row>
    <row r="14" spans="1:17" x14ac:dyDescent="0.3">
      <c r="A14" t="s">
        <v>21</v>
      </c>
      <c r="B14" t="s">
        <v>34</v>
      </c>
      <c r="C14" t="s">
        <v>32</v>
      </c>
      <c r="D14">
        <v>0.1</v>
      </c>
      <c r="E14" t="s">
        <v>24</v>
      </c>
      <c r="F14" t="s">
        <v>25</v>
      </c>
      <c r="G14" t="s">
        <v>26</v>
      </c>
      <c r="H14" t="s">
        <v>27</v>
      </c>
      <c r="I14" s="9">
        <v>1080</v>
      </c>
      <c r="J14" t="str">
        <f t="shared" si="0"/>
        <v>Master Model G10 Grizzly XL_TwoAge_5a_6a_14b_15a_B030.1JAGS_Female_2000</v>
      </c>
      <c r="K14" s="9">
        <v>1080</v>
      </c>
      <c r="L14" s="9">
        <f>ROUND(IF(ISNUMBER(SEARCH("Relapse",J14)),_xlfn.XLOOKUP(J14,'Pivot and Calcs'!A:A,'Pivot and Calcs'!T:T),I14),0)</f>
        <v>1080</v>
      </c>
      <c r="M14">
        <v>0.01</v>
      </c>
      <c r="N14">
        <v>9.9999997764825821E-3</v>
      </c>
      <c r="O14" s="22">
        <v>46254.035705312497</v>
      </c>
      <c r="P14" t="s">
        <v>29</v>
      </c>
      <c r="Q14" t="s">
        <v>30</v>
      </c>
    </row>
    <row r="15" spans="1:17" x14ac:dyDescent="0.3">
      <c r="A15" t="s">
        <v>21</v>
      </c>
      <c r="B15" t="s">
        <v>35</v>
      </c>
      <c r="C15" t="s">
        <v>23</v>
      </c>
      <c r="D15">
        <v>0.05</v>
      </c>
      <c r="E15" t="s">
        <v>24</v>
      </c>
      <c r="F15" t="s">
        <v>25</v>
      </c>
      <c r="G15" t="s">
        <v>26</v>
      </c>
      <c r="H15" t="s">
        <v>27</v>
      </c>
      <c r="I15" s="9">
        <v>1052</v>
      </c>
      <c r="J15" t="str">
        <f t="shared" si="0"/>
        <v>Master Model G10 Grizzly XL_TwoAge_5a_6a_14b_15a_B040.05JAGS_Male_2000</v>
      </c>
      <c r="K15" s="9">
        <v>1052</v>
      </c>
      <c r="L15" s="9">
        <f>ROUND(IF(ISNUMBER(SEARCH("Relapse",J15)),_xlfn.XLOOKUP(J15,'Pivot and Calcs'!A:A,'Pivot and Calcs'!T:T),I15),0)</f>
        <v>1052</v>
      </c>
      <c r="M15">
        <v>0.01</v>
      </c>
      <c r="N15">
        <v>9.9999997764825821E-3</v>
      </c>
      <c r="O15" s="22">
        <v>46254.035705312497</v>
      </c>
      <c r="P15" t="s">
        <v>29</v>
      </c>
      <c r="Q15" t="s">
        <v>30</v>
      </c>
    </row>
    <row r="16" spans="1:17" x14ac:dyDescent="0.3">
      <c r="A16" t="s">
        <v>21</v>
      </c>
      <c r="B16" t="s">
        <v>35</v>
      </c>
      <c r="C16" t="s">
        <v>23</v>
      </c>
      <c r="D16">
        <v>0.1</v>
      </c>
      <c r="E16" t="s">
        <v>24</v>
      </c>
      <c r="F16" t="s">
        <v>25</v>
      </c>
      <c r="G16" t="s">
        <v>26</v>
      </c>
      <c r="H16" t="s">
        <v>27</v>
      </c>
      <c r="I16" s="9">
        <v>948</v>
      </c>
      <c r="J16" t="str">
        <f t="shared" si="0"/>
        <v>Master Model G10 Grizzly XL_TwoAge_5a_6a_14b_15a_B040.1JAGS_Male_2000</v>
      </c>
      <c r="K16" s="9">
        <v>948</v>
      </c>
      <c r="L16" s="9">
        <f>ROUND(IF(ISNUMBER(SEARCH("Relapse",J16)),_xlfn.XLOOKUP(J16,'Pivot and Calcs'!A:A,'Pivot and Calcs'!T:T),I16),0)</f>
        <v>948</v>
      </c>
      <c r="M16">
        <v>0.01</v>
      </c>
      <c r="N16">
        <v>9.9999997764825821E-3</v>
      </c>
      <c r="O16" s="22">
        <v>46254.035705312497</v>
      </c>
      <c r="P16" t="s">
        <v>29</v>
      </c>
      <c r="Q16" t="s">
        <v>30</v>
      </c>
    </row>
    <row r="17" spans="1:17" x14ac:dyDescent="0.3">
      <c r="A17" t="s">
        <v>21</v>
      </c>
      <c r="B17" t="s">
        <v>35</v>
      </c>
      <c r="C17" t="s">
        <v>32</v>
      </c>
      <c r="D17">
        <v>0.05</v>
      </c>
      <c r="E17" t="s">
        <v>24</v>
      </c>
      <c r="F17" t="s">
        <v>25</v>
      </c>
      <c r="G17" t="s">
        <v>26</v>
      </c>
      <c r="H17" t="s">
        <v>27</v>
      </c>
      <c r="I17" s="9">
        <v>853</v>
      </c>
      <c r="J17" t="str">
        <f t="shared" si="0"/>
        <v>Master Model G10 Grizzly XL_TwoAge_5a_6a_14b_15a_B040.05JAGS_Female_2000</v>
      </c>
      <c r="K17" s="9">
        <v>853</v>
      </c>
      <c r="L17" s="9">
        <f>ROUND(IF(ISNUMBER(SEARCH("Relapse",J17)),_xlfn.XLOOKUP(J17,'Pivot and Calcs'!A:A,'Pivot and Calcs'!T:T),I17),0)</f>
        <v>853</v>
      </c>
      <c r="M17">
        <v>0.01</v>
      </c>
      <c r="N17">
        <v>9.9999997764825821E-3</v>
      </c>
      <c r="O17" s="22">
        <v>46254.035705312497</v>
      </c>
      <c r="P17" t="s">
        <v>29</v>
      </c>
      <c r="Q17" t="s">
        <v>30</v>
      </c>
    </row>
    <row r="18" spans="1:17" x14ac:dyDescent="0.3">
      <c r="A18" t="s">
        <v>21</v>
      </c>
      <c r="B18" t="s">
        <v>35</v>
      </c>
      <c r="C18" t="s">
        <v>32</v>
      </c>
      <c r="D18">
        <v>0.1</v>
      </c>
      <c r="E18" t="s">
        <v>24</v>
      </c>
      <c r="F18" t="s">
        <v>25</v>
      </c>
      <c r="G18" t="s">
        <v>26</v>
      </c>
      <c r="H18" t="s">
        <v>27</v>
      </c>
      <c r="I18" s="9">
        <v>772</v>
      </c>
      <c r="J18" t="str">
        <f t="shared" si="0"/>
        <v>Master Model G10 Grizzly XL_TwoAge_5a_6a_14b_15a_B040.1JAGS_Female_2000</v>
      </c>
      <c r="K18" s="9">
        <v>772</v>
      </c>
      <c r="L18" s="9">
        <f>ROUND(IF(ISNUMBER(SEARCH("Relapse",J18)),_xlfn.XLOOKUP(J18,'Pivot and Calcs'!A:A,'Pivot and Calcs'!T:T),I18),0)</f>
        <v>772</v>
      </c>
      <c r="M18">
        <v>0.01</v>
      </c>
      <c r="N18">
        <v>9.9999997764825821E-3</v>
      </c>
      <c r="O18" s="22">
        <v>46254.035705312497</v>
      </c>
      <c r="P18" t="s">
        <v>29</v>
      </c>
      <c r="Q18" t="s">
        <v>30</v>
      </c>
    </row>
    <row r="19" spans="1:17" x14ac:dyDescent="0.3">
      <c r="A19" t="s">
        <v>21</v>
      </c>
      <c r="B19" t="s">
        <v>36</v>
      </c>
      <c r="C19" t="s">
        <v>23</v>
      </c>
      <c r="D19">
        <v>0.05</v>
      </c>
      <c r="E19" t="s">
        <v>24</v>
      </c>
      <c r="F19" t="s">
        <v>25</v>
      </c>
      <c r="G19" t="s">
        <v>26</v>
      </c>
      <c r="H19" t="s">
        <v>27</v>
      </c>
      <c r="I19" s="9">
        <v>716</v>
      </c>
      <c r="J19" t="str">
        <f t="shared" si="0"/>
        <v>Master Model G10 Grizzly XL_TwoAge_5a_6a_14b_15a_B050.05JAGS_Male_2000</v>
      </c>
      <c r="K19" s="9">
        <v>716</v>
      </c>
      <c r="L19" s="9">
        <f>ROUND(IF(ISNUMBER(SEARCH("Relapse",J19)),_xlfn.XLOOKUP(J19,'Pivot and Calcs'!A:A,'Pivot and Calcs'!T:T),I19),0)</f>
        <v>716</v>
      </c>
      <c r="M19">
        <v>0.01</v>
      </c>
      <c r="N19">
        <v>9.9999997764825821E-3</v>
      </c>
      <c r="O19" s="22">
        <v>46254.035705312497</v>
      </c>
      <c r="P19" t="s">
        <v>29</v>
      </c>
      <c r="Q19" t="s">
        <v>30</v>
      </c>
    </row>
    <row r="20" spans="1:17" x14ac:dyDescent="0.3">
      <c r="A20" t="s">
        <v>21</v>
      </c>
      <c r="B20" t="s">
        <v>36</v>
      </c>
      <c r="C20" t="s">
        <v>23</v>
      </c>
      <c r="D20">
        <v>0.1</v>
      </c>
      <c r="E20" t="s">
        <v>24</v>
      </c>
      <c r="F20" t="s">
        <v>25</v>
      </c>
      <c r="G20" t="s">
        <v>26</v>
      </c>
      <c r="H20" t="s">
        <v>27</v>
      </c>
      <c r="I20" s="9">
        <v>650</v>
      </c>
      <c r="J20" t="str">
        <f t="shared" si="0"/>
        <v>Master Model G10 Grizzly XL_TwoAge_5a_6a_14b_15a_B050.1JAGS_Male_2000</v>
      </c>
      <c r="K20" s="9">
        <v>650</v>
      </c>
      <c r="L20" s="9">
        <f>ROUND(IF(ISNUMBER(SEARCH("Relapse",J20)),_xlfn.XLOOKUP(J20,'Pivot and Calcs'!A:A,'Pivot and Calcs'!T:T),I20),0)</f>
        <v>650</v>
      </c>
      <c r="M20">
        <v>0.01</v>
      </c>
      <c r="N20">
        <v>9.9999997764825821E-3</v>
      </c>
      <c r="O20" s="22">
        <v>46254.035705312497</v>
      </c>
      <c r="P20" t="s">
        <v>29</v>
      </c>
      <c r="Q20" t="s">
        <v>30</v>
      </c>
    </row>
    <row r="21" spans="1:17" x14ac:dyDescent="0.3">
      <c r="A21" t="s">
        <v>21</v>
      </c>
      <c r="B21" t="s">
        <v>36</v>
      </c>
      <c r="C21" t="s">
        <v>32</v>
      </c>
      <c r="D21">
        <v>0.05</v>
      </c>
      <c r="E21" t="s">
        <v>24</v>
      </c>
      <c r="F21" t="s">
        <v>25</v>
      </c>
      <c r="G21" t="s">
        <v>26</v>
      </c>
      <c r="H21" t="s">
        <v>27</v>
      </c>
      <c r="I21" s="9">
        <v>596</v>
      </c>
      <c r="J21" t="str">
        <f t="shared" si="0"/>
        <v>Master Model G10 Grizzly XL_TwoAge_5a_6a_14b_15a_B050.05JAGS_Female_2000</v>
      </c>
      <c r="K21" s="9">
        <v>596</v>
      </c>
      <c r="L21" s="9">
        <f>ROUND(IF(ISNUMBER(SEARCH("Relapse",J21)),_xlfn.XLOOKUP(J21,'Pivot and Calcs'!A:A,'Pivot and Calcs'!T:T),I21),0)</f>
        <v>596</v>
      </c>
      <c r="M21">
        <v>0.01</v>
      </c>
      <c r="N21">
        <v>9.9999997764825821E-3</v>
      </c>
      <c r="O21" s="22">
        <v>46254.035705312497</v>
      </c>
      <c r="P21" t="s">
        <v>29</v>
      </c>
      <c r="Q21" t="s">
        <v>30</v>
      </c>
    </row>
    <row r="22" spans="1:17" x14ac:dyDescent="0.3">
      <c r="A22" t="s">
        <v>21</v>
      </c>
      <c r="B22" t="s">
        <v>36</v>
      </c>
      <c r="C22" t="s">
        <v>32</v>
      </c>
      <c r="D22">
        <v>0.1</v>
      </c>
      <c r="E22" t="s">
        <v>24</v>
      </c>
      <c r="F22" t="s">
        <v>25</v>
      </c>
      <c r="G22" t="s">
        <v>26</v>
      </c>
      <c r="H22" t="s">
        <v>27</v>
      </c>
      <c r="I22" s="9">
        <v>542</v>
      </c>
      <c r="J22" t="str">
        <f t="shared" si="0"/>
        <v>Master Model G10 Grizzly XL_TwoAge_5a_6a_14b_15a_B050.1JAGS_Female_2000</v>
      </c>
      <c r="K22" s="9">
        <v>542</v>
      </c>
      <c r="L22" s="9">
        <f>ROUND(IF(ISNUMBER(SEARCH("Relapse",J22)),_xlfn.XLOOKUP(J22,'Pivot and Calcs'!A:A,'Pivot and Calcs'!T:T),I22),0)</f>
        <v>542</v>
      </c>
      <c r="M22">
        <v>0.01</v>
      </c>
      <c r="N22">
        <v>9.9999997764825821E-3</v>
      </c>
      <c r="O22" s="22">
        <v>46254.035705312497</v>
      </c>
      <c r="P22" t="s">
        <v>29</v>
      </c>
      <c r="Q22" t="s">
        <v>30</v>
      </c>
    </row>
    <row r="23" spans="1:17" x14ac:dyDescent="0.3">
      <c r="A23" t="s">
        <v>21</v>
      </c>
      <c r="B23" t="s">
        <v>37</v>
      </c>
      <c r="C23" t="s">
        <v>23</v>
      </c>
      <c r="D23">
        <v>0.05</v>
      </c>
      <c r="E23" t="s">
        <v>24</v>
      </c>
      <c r="F23" t="s">
        <v>25</v>
      </c>
      <c r="G23" t="s">
        <v>26</v>
      </c>
      <c r="H23" t="s">
        <v>27</v>
      </c>
      <c r="I23" s="9">
        <v>483</v>
      </c>
      <c r="J23" t="str">
        <f t="shared" si="0"/>
        <v>Master Model G10 Grizzly XL_TwoAge_5a_6a_14b_15a_B060.05JAGS_Male_2000</v>
      </c>
      <c r="K23" s="9">
        <v>483</v>
      </c>
      <c r="L23" s="9">
        <f>ROUND(IF(ISNUMBER(SEARCH("Relapse",J23)),_xlfn.XLOOKUP(J23,'Pivot and Calcs'!A:A,'Pivot and Calcs'!T:T),I23),0)</f>
        <v>483</v>
      </c>
      <c r="M23">
        <v>0.01</v>
      </c>
      <c r="N23">
        <v>9.9999997764825821E-3</v>
      </c>
      <c r="O23" s="22">
        <v>46254.035705312497</v>
      </c>
      <c r="P23" t="s">
        <v>29</v>
      </c>
      <c r="Q23" t="s">
        <v>30</v>
      </c>
    </row>
    <row r="24" spans="1:17" x14ac:dyDescent="0.3">
      <c r="A24" t="s">
        <v>21</v>
      </c>
      <c r="B24" t="s">
        <v>37</v>
      </c>
      <c r="C24" t="s">
        <v>23</v>
      </c>
      <c r="D24">
        <v>0.1</v>
      </c>
      <c r="E24" t="s">
        <v>24</v>
      </c>
      <c r="F24" t="s">
        <v>25</v>
      </c>
      <c r="G24" t="s">
        <v>26</v>
      </c>
      <c r="H24" t="s">
        <v>27</v>
      </c>
      <c r="I24" s="9">
        <v>439</v>
      </c>
      <c r="J24" t="str">
        <f t="shared" si="0"/>
        <v>Master Model G10 Grizzly XL_TwoAge_5a_6a_14b_15a_B060.1JAGS_Male_2000</v>
      </c>
      <c r="K24" s="9">
        <v>439</v>
      </c>
      <c r="L24" s="9">
        <f>ROUND(IF(ISNUMBER(SEARCH("Relapse",J24)),_xlfn.XLOOKUP(J24,'Pivot and Calcs'!A:A,'Pivot and Calcs'!T:T),I24),0)</f>
        <v>439</v>
      </c>
      <c r="M24">
        <v>0.01</v>
      </c>
      <c r="N24">
        <v>9.9999997764825821E-3</v>
      </c>
      <c r="O24" s="22">
        <v>46254.035705312497</v>
      </c>
      <c r="P24" t="s">
        <v>29</v>
      </c>
      <c r="Q24" t="s">
        <v>30</v>
      </c>
    </row>
    <row r="25" spans="1:17" x14ac:dyDescent="0.3">
      <c r="A25" t="s">
        <v>21</v>
      </c>
      <c r="B25" t="s">
        <v>37</v>
      </c>
      <c r="C25" t="s">
        <v>32</v>
      </c>
      <c r="D25">
        <v>0.05</v>
      </c>
      <c r="E25" t="s">
        <v>24</v>
      </c>
      <c r="F25" t="s">
        <v>25</v>
      </c>
      <c r="G25" t="s">
        <v>26</v>
      </c>
      <c r="H25" t="s">
        <v>27</v>
      </c>
      <c r="I25" s="9">
        <v>412</v>
      </c>
      <c r="J25" t="str">
        <f t="shared" si="0"/>
        <v>Master Model G10 Grizzly XL_TwoAge_5a_6a_14b_15a_B060.05JAGS_Female_2000</v>
      </c>
      <c r="K25" s="9">
        <v>412</v>
      </c>
      <c r="L25" s="9">
        <f>ROUND(IF(ISNUMBER(SEARCH("Relapse",J25)),_xlfn.XLOOKUP(J25,'Pivot and Calcs'!A:A,'Pivot and Calcs'!T:T),I25),0)</f>
        <v>412</v>
      </c>
      <c r="M25">
        <v>0.01</v>
      </c>
      <c r="N25">
        <v>9.9999997764825821E-3</v>
      </c>
      <c r="O25" s="22">
        <v>46254.035705312497</v>
      </c>
      <c r="P25" t="s">
        <v>29</v>
      </c>
      <c r="Q25" t="s">
        <v>30</v>
      </c>
    </row>
    <row r="26" spans="1:17" x14ac:dyDescent="0.3">
      <c r="A26" t="s">
        <v>21</v>
      </c>
      <c r="B26" t="s">
        <v>37</v>
      </c>
      <c r="C26" t="s">
        <v>32</v>
      </c>
      <c r="D26">
        <v>0.1</v>
      </c>
      <c r="E26" t="s">
        <v>24</v>
      </c>
      <c r="F26" t="s">
        <v>25</v>
      </c>
      <c r="G26" t="s">
        <v>26</v>
      </c>
      <c r="H26" t="s">
        <v>27</v>
      </c>
      <c r="I26" s="9">
        <v>375</v>
      </c>
      <c r="J26" t="str">
        <f t="shared" si="0"/>
        <v>Master Model G10 Grizzly XL_TwoAge_5a_6a_14b_15a_B060.1JAGS_Female_2000</v>
      </c>
      <c r="K26" s="9">
        <v>375</v>
      </c>
      <c r="L26" s="9">
        <f>ROUND(IF(ISNUMBER(SEARCH("Relapse",J26)),_xlfn.XLOOKUP(J26,'Pivot and Calcs'!A:A,'Pivot and Calcs'!T:T),I26),0)</f>
        <v>375</v>
      </c>
      <c r="M26">
        <v>0.01</v>
      </c>
      <c r="N26">
        <v>9.9999997764825821E-3</v>
      </c>
      <c r="O26" s="22">
        <v>46254.035705312497</v>
      </c>
      <c r="P26" t="s">
        <v>29</v>
      </c>
      <c r="Q26" t="s">
        <v>30</v>
      </c>
    </row>
    <row r="27" spans="1:17" x14ac:dyDescent="0.3">
      <c r="A27" t="s">
        <v>21</v>
      </c>
      <c r="B27" t="s">
        <v>38</v>
      </c>
      <c r="C27" t="s">
        <v>23</v>
      </c>
      <c r="D27">
        <v>0.05</v>
      </c>
      <c r="E27" t="s">
        <v>24</v>
      </c>
      <c r="F27" t="s">
        <v>25</v>
      </c>
      <c r="G27" t="s">
        <v>26</v>
      </c>
      <c r="H27" t="s">
        <v>27</v>
      </c>
      <c r="I27" s="9">
        <v>241</v>
      </c>
      <c r="J27" t="str">
        <f t="shared" si="0"/>
        <v>Master Model G10 Grizzly XL_TwoAge_5a_6a_14b_15a_B070.05JAGS_Male_2000</v>
      </c>
      <c r="K27" s="9">
        <v>241</v>
      </c>
      <c r="L27" s="9">
        <f>ROUND(IF(ISNUMBER(SEARCH("Relapse",J27)),_xlfn.XLOOKUP(J27,'Pivot and Calcs'!A:A,'Pivot and Calcs'!T:T),I27),0)</f>
        <v>241</v>
      </c>
      <c r="M27">
        <v>0.01</v>
      </c>
      <c r="N27">
        <v>9.9999997764825821E-3</v>
      </c>
      <c r="O27" s="22">
        <v>46254.035705312497</v>
      </c>
      <c r="P27" t="s">
        <v>29</v>
      </c>
      <c r="Q27" t="s">
        <v>30</v>
      </c>
    </row>
    <row r="28" spans="1:17" x14ac:dyDescent="0.3">
      <c r="A28" t="s">
        <v>21</v>
      </c>
      <c r="B28" t="s">
        <v>38</v>
      </c>
      <c r="C28" t="s">
        <v>23</v>
      </c>
      <c r="D28">
        <v>0.1</v>
      </c>
      <c r="E28" t="s">
        <v>24</v>
      </c>
      <c r="F28" t="s">
        <v>25</v>
      </c>
      <c r="G28" t="s">
        <v>26</v>
      </c>
      <c r="H28" t="s">
        <v>27</v>
      </c>
      <c r="I28" s="9">
        <v>220</v>
      </c>
      <c r="J28" t="str">
        <f t="shared" si="0"/>
        <v>Master Model G10 Grizzly XL_TwoAge_5a_6a_14b_15a_B070.1JAGS_Male_2000</v>
      </c>
      <c r="K28" s="9">
        <v>220</v>
      </c>
      <c r="L28" s="9">
        <f>ROUND(IF(ISNUMBER(SEARCH("Relapse",J28)),_xlfn.XLOOKUP(J28,'Pivot and Calcs'!A:A,'Pivot and Calcs'!T:T),I28),0)</f>
        <v>220</v>
      </c>
      <c r="M28">
        <v>0.01</v>
      </c>
      <c r="N28">
        <v>9.9999997764825821E-3</v>
      </c>
      <c r="O28" s="22">
        <v>46254.035705312497</v>
      </c>
      <c r="P28" t="s">
        <v>29</v>
      </c>
      <c r="Q28" t="s">
        <v>30</v>
      </c>
    </row>
    <row r="29" spans="1:17" x14ac:dyDescent="0.3">
      <c r="A29" t="s">
        <v>21</v>
      </c>
      <c r="B29" t="s">
        <v>38</v>
      </c>
      <c r="C29" t="s">
        <v>32</v>
      </c>
      <c r="D29">
        <v>0.05</v>
      </c>
      <c r="E29" t="s">
        <v>24</v>
      </c>
      <c r="F29" t="s">
        <v>25</v>
      </c>
      <c r="G29" t="s">
        <v>26</v>
      </c>
      <c r="H29" t="s">
        <v>27</v>
      </c>
      <c r="I29" s="9">
        <v>211</v>
      </c>
      <c r="J29" t="str">
        <f t="shared" si="0"/>
        <v>Master Model G10 Grizzly XL_TwoAge_5a_6a_14b_15a_B070.05JAGS_Female_2000</v>
      </c>
      <c r="K29" s="9">
        <v>211</v>
      </c>
      <c r="L29" s="9">
        <f>ROUND(IF(ISNUMBER(SEARCH("Relapse",J29)),_xlfn.XLOOKUP(J29,'Pivot and Calcs'!A:A,'Pivot and Calcs'!T:T),I29),0)</f>
        <v>211</v>
      </c>
      <c r="M29">
        <v>0.01</v>
      </c>
      <c r="N29">
        <v>9.9999997764825821E-3</v>
      </c>
      <c r="O29" s="22">
        <v>46254.035705312497</v>
      </c>
      <c r="P29" t="s">
        <v>29</v>
      </c>
      <c r="Q29" t="s">
        <v>30</v>
      </c>
    </row>
    <row r="30" spans="1:17" x14ac:dyDescent="0.3">
      <c r="A30" t="s">
        <v>21</v>
      </c>
      <c r="B30" t="s">
        <v>38</v>
      </c>
      <c r="C30" t="s">
        <v>32</v>
      </c>
      <c r="D30">
        <v>0.1</v>
      </c>
      <c r="E30" t="s">
        <v>24</v>
      </c>
      <c r="F30" t="s">
        <v>25</v>
      </c>
      <c r="G30" t="s">
        <v>26</v>
      </c>
      <c r="H30" t="s">
        <v>27</v>
      </c>
      <c r="I30" s="9">
        <v>193</v>
      </c>
      <c r="J30" t="str">
        <f t="shared" si="0"/>
        <v>Master Model G10 Grizzly XL_TwoAge_5a_6a_14b_15a_B070.1JAGS_Female_2000</v>
      </c>
      <c r="K30" s="9">
        <v>193</v>
      </c>
      <c r="L30" s="9">
        <f>ROUND(IF(ISNUMBER(SEARCH("Relapse",J30)),_xlfn.XLOOKUP(J30,'Pivot and Calcs'!A:A,'Pivot and Calcs'!T:T),I30),0)</f>
        <v>193</v>
      </c>
      <c r="M30">
        <v>0.01</v>
      </c>
      <c r="N30">
        <v>9.9999997764825821E-3</v>
      </c>
      <c r="O30" s="22">
        <v>46254.035705312497</v>
      </c>
      <c r="P30" t="s">
        <v>29</v>
      </c>
      <c r="Q30" t="s">
        <v>30</v>
      </c>
    </row>
    <row r="31" spans="1:17" x14ac:dyDescent="0.3">
      <c r="A31" t="s">
        <v>21</v>
      </c>
      <c r="B31" t="s">
        <v>39</v>
      </c>
      <c r="C31" t="s">
        <v>23</v>
      </c>
      <c r="D31">
        <v>0.05</v>
      </c>
      <c r="E31" t="s">
        <v>24</v>
      </c>
      <c r="F31" t="s">
        <v>25</v>
      </c>
      <c r="G31" t="s">
        <v>26</v>
      </c>
      <c r="H31" t="s">
        <v>27</v>
      </c>
      <c r="I31" s="9">
        <v>80</v>
      </c>
      <c r="J31" t="str">
        <f t="shared" si="0"/>
        <v>Master Model G10 Grizzly XL_TwoAge_5a_6a_14b_15a_B080.05JAGS_Male_2000</v>
      </c>
      <c r="K31" s="9">
        <v>80</v>
      </c>
      <c r="L31" s="9">
        <f>ROUND(IF(ISNUMBER(SEARCH("Relapse",J31)),_xlfn.XLOOKUP(J31,'Pivot and Calcs'!A:A,'Pivot and Calcs'!T:T),I31),0)</f>
        <v>80</v>
      </c>
      <c r="M31">
        <v>0.01</v>
      </c>
      <c r="N31">
        <v>9.9999997764825821E-3</v>
      </c>
      <c r="O31" s="22">
        <v>46254.035705312497</v>
      </c>
      <c r="P31" t="s">
        <v>29</v>
      </c>
      <c r="Q31" t="s">
        <v>30</v>
      </c>
    </row>
    <row r="32" spans="1:17" x14ac:dyDescent="0.3">
      <c r="A32" t="s">
        <v>21</v>
      </c>
      <c r="B32" t="s">
        <v>39</v>
      </c>
      <c r="C32" t="s">
        <v>23</v>
      </c>
      <c r="D32">
        <v>0.1</v>
      </c>
      <c r="E32" t="s">
        <v>24</v>
      </c>
      <c r="F32" t="s">
        <v>25</v>
      </c>
      <c r="G32" t="s">
        <v>26</v>
      </c>
      <c r="H32" t="s">
        <v>27</v>
      </c>
      <c r="I32" s="9">
        <v>73</v>
      </c>
      <c r="J32" t="str">
        <f t="shared" si="0"/>
        <v>Master Model G10 Grizzly XL_TwoAge_5a_6a_14b_15a_B080.1JAGS_Male_2000</v>
      </c>
      <c r="K32" s="9">
        <v>73</v>
      </c>
      <c r="L32" s="9">
        <f>ROUND(IF(ISNUMBER(SEARCH("Relapse",J32)),_xlfn.XLOOKUP(J32,'Pivot and Calcs'!A:A,'Pivot and Calcs'!T:T),I32),0)</f>
        <v>73</v>
      </c>
      <c r="M32">
        <v>0.01</v>
      </c>
      <c r="N32">
        <v>9.9999997764825821E-3</v>
      </c>
      <c r="O32" s="22">
        <v>46254.035705312497</v>
      </c>
      <c r="P32" t="s">
        <v>29</v>
      </c>
      <c r="Q32" t="s">
        <v>30</v>
      </c>
    </row>
    <row r="33" spans="1:17" x14ac:dyDescent="0.3">
      <c r="A33" t="s">
        <v>21</v>
      </c>
      <c r="B33" t="s">
        <v>39</v>
      </c>
      <c r="C33" t="s">
        <v>32</v>
      </c>
      <c r="D33">
        <v>0.05</v>
      </c>
      <c r="E33" t="s">
        <v>24</v>
      </c>
      <c r="F33" t="s">
        <v>25</v>
      </c>
      <c r="G33" t="s">
        <v>26</v>
      </c>
      <c r="H33" t="s">
        <v>27</v>
      </c>
      <c r="I33" s="9">
        <v>72</v>
      </c>
      <c r="J33" t="str">
        <f t="shared" si="0"/>
        <v>Master Model G10 Grizzly XL_TwoAge_5a_6a_14b_15a_B080.05JAGS_Female_2000</v>
      </c>
      <c r="K33" s="9">
        <v>72</v>
      </c>
      <c r="L33" s="9">
        <f>ROUND(IF(ISNUMBER(SEARCH("Relapse",J33)),_xlfn.XLOOKUP(J33,'Pivot and Calcs'!A:A,'Pivot and Calcs'!T:T),I33),0)</f>
        <v>72</v>
      </c>
      <c r="M33">
        <v>0.01</v>
      </c>
      <c r="N33">
        <v>9.9999997764825821E-3</v>
      </c>
      <c r="O33" s="22">
        <v>46254.035705312497</v>
      </c>
      <c r="P33" t="s">
        <v>29</v>
      </c>
      <c r="Q33" t="s">
        <v>30</v>
      </c>
    </row>
    <row r="34" spans="1:17" x14ac:dyDescent="0.3">
      <c r="A34" t="s">
        <v>21</v>
      </c>
      <c r="B34" t="s">
        <v>39</v>
      </c>
      <c r="C34" t="s">
        <v>32</v>
      </c>
      <c r="D34">
        <v>0.1</v>
      </c>
      <c r="E34" t="s">
        <v>24</v>
      </c>
      <c r="F34" t="s">
        <v>25</v>
      </c>
      <c r="G34" t="s">
        <v>26</v>
      </c>
      <c r="H34" t="s">
        <v>27</v>
      </c>
      <c r="I34" s="9">
        <v>66</v>
      </c>
      <c r="J34" t="str">
        <f t="shared" si="0"/>
        <v>Master Model G10 Grizzly XL_TwoAge_5a_6a_14b_15a_B080.1JAGS_Female_2000</v>
      </c>
      <c r="K34" s="9">
        <v>66</v>
      </c>
      <c r="L34" s="9">
        <f>ROUND(IF(ISNUMBER(SEARCH("Relapse",J34)),_xlfn.XLOOKUP(J34,'Pivot and Calcs'!A:A,'Pivot and Calcs'!T:T),I34),0)</f>
        <v>66</v>
      </c>
      <c r="M34">
        <v>0.01</v>
      </c>
      <c r="N34">
        <v>9.9999997764825821E-3</v>
      </c>
      <c r="O34" s="22">
        <v>46254.035705312497</v>
      </c>
      <c r="P34" t="s">
        <v>29</v>
      </c>
      <c r="Q34" t="s">
        <v>30</v>
      </c>
    </row>
    <row r="35" spans="1:17" x14ac:dyDescent="0.3">
      <c r="A35" t="s">
        <v>21</v>
      </c>
      <c r="B35" t="s">
        <v>40</v>
      </c>
      <c r="C35" t="s">
        <v>23</v>
      </c>
      <c r="D35">
        <v>0.05</v>
      </c>
      <c r="E35" t="s">
        <v>24</v>
      </c>
      <c r="F35" t="s">
        <v>25</v>
      </c>
      <c r="G35" t="s">
        <v>26</v>
      </c>
      <c r="H35" t="s">
        <v>27</v>
      </c>
      <c r="I35" s="9">
        <v>22</v>
      </c>
      <c r="J35" t="str">
        <f t="shared" ref="J35:J66" si="1">B35&amp;D35&amp;C35</f>
        <v>Master Model G10 Grizzly XL_TwoAge_5a_6a_14b_15a_B090.05JAGS_Male_2000</v>
      </c>
      <c r="K35" s="9">
        <v>22</v>
      </c>
      <c r="L35" s="9">
        <f>ROUND(IF(ISNUMBER(SEARCH("Relapse",J35)),_xlfn.XLOOKUP(J35,'Pivot and Calcs'!A:A,'Pivot and Calcs'!T:T),I35),0)</f>
        <v>22</v>
      </c>
      <c r="M35">
        <v>0.01</v>
      </c>
      <c r="N35">
        <v>9.9999997764825821E-3</v>
      </c>
      <c r="O35" s="22">
        <v>46254.035705324073</v>
      </c>
      <c r="P35" t="s">
        <v>29</v>
      </c>
      <c r="Q35" t="s">
        <v>30</v>
      </c>
    </row>
    <row r="36" spans="1:17" x14ac:dyDescent="0.3">
      <c r="A36" t="s">
        <v>21</v>
      </c>
      <c r="B36" t="s">
        <v>40</v>
      </c>
      <c r="C36" t="s">
        <v>23</v>
      </c>
      <c r="D36">
        <v>0.1</v>
      </c>
      <c r="E36" t="s">
        <v>24</v>
      </c>
      <c r="F36" t="s">
        <v>25</v>
      </c>
      <c r="G36" t="s">
        <v>26</v>
      </c>
      <c r="H36" t="s">
        <v>27</v>
      </c>
      <c r="I36" s="9">
        <v>20</v>
      </c>
      <c r="J36" t="str">
        <f t="shared" si="1"/>
        <v>Master Model G10 Grizzly XL_TwoAge_5a_6a_14b_15a_B090.1JAGS_Male_2000</v>
      </c>
      <c r="K36" s="9">
        <v>20</v>
      </c>
      <c r="L36" s="9">
        <f>ROUND(IF(ISNUMBER(SEARCH("Relapse",J36)),_xlfn.XLOOKUP(J36,'Pivot and Calcs'!A:A,'Pivot and Calcs'!T:T),I36),0)</f>
        <v>20</v>
      </c>
      <c r="M36">
        <v>0.01</v>
      </c>
      <c r="N36">
        <v>9.9999997764825821E-3</v>
      </c>
      <c r="O36" s="22">
        <v>46254.035705324073</v>
      </c>
      <c r="P36" t="s">
        <v>29</v>
      </c>
      <c r="Q36" t="s">
        <v>30</v>
      </c>
    </row>
    <row r="37" spans="1:17" x14ac:dyDescent="0.3">
      <c r="A37" t="s">
        <v>21</v>
      </c>
      <c r="B37" t="s">
        <v>40</v>
      </c>
      <c r="C37" t="s">
        <v>32</v>
      </c>
      <c r="D37">
        <v>0.05</v>
      </c>
      <c r="E37" t="s">
        <v>24</v>
      </c>
      <c r="F37" t="s">
        <v>25</v>
      </c>
      <c r="G37" t="s">
        <v>26</v>
      </c>
      <c r="H37" t="s">
        <v>27</v>
      </c>
      <c r="I37" s="9">
        <v>21</v>
      </c>
      <c r="J37" t="str">
        <f t="shared" si="1"/>
        <v>Master Model G10 Grizzly XL_TwoAge_5a_6a_14b_15a_B090.05JAGS_Female_2000</v>
      </c>
      <c r="K37" s="9">
        <v>21</v>
      </c>
      <c r="L37" s="9">
        <f>ROUND(IF(ISNUMBER(SEARCH("Relapse",J37)),_xlfn.XLOOKUP(J37,'Pivot and Calcs'!A:A,'Pivot and Calcs'!T:T),I37),0)</f>
        <v>21</v>
      </c>
      <c r="M37">
        <v>0.01</v>
      </c>
      <c r="N37">
        <v>9.9999997764825821E-3</v>
      </c>
      <c r="O37" s="22">
        <v>46254.035705324073</v>
      </c>
      <c r="P37" t="s">
        <v>29</v>
      </c>
      <c r="Q37" t="s">
        <v>30</v>
      </c>
    </row>
    <row r="38" spans="1:17" x14ac:dyDescent="0.3">
      <c r="A38" t="s">
        <v>21</v>
      </c>
      <c r="B38" t="s">
        <v>40</v>
      </c>
      <c r="C38" t="s">
        <v>32</v>
      </c>
      <c r="D38">
        <v>0.1</v>
      </c>
      <c r="E38" t="s">
        <v>24</v>
      </c>
      <c r="F38" t="s">
        <v>25</v>
      </c>
      <c r="G38" t="s">
        <v>26</v>
      </c>
      <c r="H38" t="s">
        <v>27</v>
      </c>
      <c r="I38" s="9">
        <v>19</v>
      </c>
      <c r="J38" t="str">
        <f t="shared" si="1"/>
        <v>Master Model G10 Grizzly XL_TwoAge_5a_6a_14b_15a_B090.1JAGS_Female_2000</v>
      </c>
      <c r="K38" s="9">
        <v>19</v>
      </c>
      <c r="L38" s="9">
        <f>ROUND(IF(ISNUMBER(SEARCH("Relapse",J38)),_xlfn.XLOOKUP(J38,'Pivot and Calcs'!A:A,'Pivot and Calcs'!T:T),I38),0)</f>
        <v>19</v>
      </c>
      <c r="M38">
        <v>0.01</v>
      </c>
      <c r="N38">
        <v>9.9999997764825821E-3</v>
      </c>
      <c r="O38" s="22">
        <v>46254.035705324073</v>
      </c>
      <c r="P38" t="s">
        <v>29</v>
      </c>
      <c r="Q38" t="s">
        <v>30</v>
      </c>
    </row>
    <row r="39" spans="1:17" x14ac:dyDescent="0.3">
      <c r="A39" t="s">
        <v>21</v>
      </c>
      <c r="B39" t="s">
        <v>41</v>
      </c>
      <c r="C39" t="s">
        <v>23</v>
      </c>
      <c r="D39">
        <v>0.05</v>
      </c>
      <c r="E39" t="s">
        <v>24</v>
      </c>
      <c r="F39" t="s">
        <v>25</v>
      </c>
      <c r="G39" t="s">
        <v>26</v>
      </c>
      <c r="H39" t="s">
        <v>27</v>
      </c>
      <c r="I39" s="9">
        <v>9</v>
      </c>
      <c r="J39" t="str">
        <f t="shared" si="1"/>
        <v>Master Model G10 Grizzly XL_TwoAge_5a_6a_14b_15a_B100.05JAGS_Male_2000</v>
      </c>
      <c r="K39" s="9">
        <v>9</v>
      </c>
      <c r="L39" s="9">
        <f>ROUND(IF(ISNUMBER(SEARCH("Relapse",J39)),_xlfn.XLOOKUP(J39,'Pivot and Calcs'!A:A,'Pivot and Calcs'!T:T),I39),0)</f>
        <v>9</v>
      </c>
      <c r="M39">
        <v>0.01</v>
      </c>
      <c r="N39">
        <v>9.9999997764825821E-3</v>
      </c>
      <c r="O39" s="22">
        <v>46254.035705324073</v>
      </c>
      <c r="P39" t="s">
        <v>29</v>
      </c>
      <c r="Q39" t="s">
        <v>30</v>
      </c>
    </row>
    <row r="40" spans="1:17" x14ac:dyDescent="0.3">
      <c r="A40" t="s">
        <v>21</v>
      </c>
      <c r="B40" t="s">
        <v>41</v>
      </c>
      <c r="C40" t="s">
        <v>23</v>
      </c>
      <c r="D40">
        <v>0.1</v>
      </c>
      <c r="E40" t="s">
        <v>24</v>
      </c>
      <c r="F40" t="s">
        <v>25</v>
      </c>
      <c r="G40" t="s">
        <v>26</v>
      </c>
      <c r="H40" t="s">
        <v>27</v>
      </c>
      <c r="I40" s="9">
        <v>8</v>
      </c>
      <c r="J40" t="str">
        <f t="shared" si="1"/>
        <v>Master Model G10 Grizzly XL_TwoAge_5a_6a_14b_15a_B100.1JAGS_Male_2000</v>
      </c>
      <c r="K40" s="9">
        <v>8</v>
      </c>
      <c r="L40" s="9">
        <f>ROUND(IF(ISNUMBER(SEARCH("Relapse",J40)),_xlfn.XLOOKUP(J40,'Pivot and Calcs'!A:A,'Pivot and Calcs'!T:T),I40),0)</f>
        <v>8</v>
      </c>
      <c r="M40">
        <v>0.01</v>
      </c>
      <c r="N40">
        <v>9.9999997764825821E-3</v>
      </c>
      <c r="O40" s="22">
        <v>46254.035705324073</v>
      </c>
      <c r="P40" t="s">
        <v>29</v>
      </c>
      <c r="Q40" t="s">
        <v>30</v>
      </c>
    </row>
    <row r="41" spans="1:17" x14ac:dyDescent="0.3">
      <c r="A41" t="s">
        <v>21</v>
      </c>
      <c r="B41" t="s">
        <v>41</v>
      </c>
      <c r="C41" t="s">
        <v>32</v>
      </c>
      <c r="D41">
        <v>0.05</v>
      </c>
      <c r="E41" t="s">
        <v>24</v>
      </c>
      <c r="F41" t="s">
        <v>25</v>
      </c>
      <c r="G41" t="s">
        <v>26</v>
      </c>
      <c r="H41" t="s">
        <v>27</v>
      </c>
      <c r="I41" s="9">
        <v>8</v>
      </c>
      <c r="J41" t="str">
        <f t="shared" si="1"/>
        <v>Master Model G10 Grizzly XL_TwoAge_5a_6a_14b_15a_B100.05JAGS_Female_2000</v>
      </c>
      <c r="K41" s="9">
        <v>8</v>
      </c>
      <c r="L41" s="9">
        <f>ROUND(IF(ISNUMBER(SEARCH("Relapse",J41)),_xlfn.XLOOKUP(J41,'Pivot and Calcs'!A:A,'Pivot and Calcs'!T:T),I41),0)</f>
        <v>8</v>
      </c>
      <c r="M41">
        <v>0.01</v>
      </c>
      <c r="N41">
        <v>9.9999997764825821E-3</v>
      </c>
      <c r="O41" s="22">
        <v>46254.035705324073</v>
      </c>
      <c r="P41" t="s">
        <v>29</v>
      </c>
      <c r="Q41" t="s">
        <v>30</v>
      </c>
    </row>
    <row r="42" spans="1:17" x14ac:dyDescent="0.3">
      <c r="A42" t="s">
        <v>21</v>
      </c>
      <c r="B42" t="s">
        <v>41</v>
      </c>
      <c r="C42" t="s">
        <v>32</v>
      </c>
      <c r="D42">
        <v>0.1</v>
      </c>
      <c r="E42" t="s">
        <v>24</v>
      </c>
      <c r="F42" t="s">
        <v>25</v>
      </c>
      <c r="G42" t="s">
        <v>26</v>
      </c>
      <c r="H42" t="s">
        <v>27</v>
      </c>
      <c r="I42" s="9">
        <v>7</v>
      </c>
      <c r="J42" t="str">
        <f t="shared" si="1"/>
        <v>Master Model G10 Grizzly XL_TwoAge_5a_6a_14b_15a_B100.1JAGS_Female_2000</v>
      </c>
      <c r="K42" s="9">
        <v>7</v>
      </c>
      <c r="L42" s="9">
        <f>ROUND(IF(ISNUMBER(SEARCH("Relapse",J42)),_xlfn.XLOOKUP(J42,'Pivot and Calcs'!A:A,'Pivot and Calcs'!T:T),I42),0)</f>
        <v>7</v>
      </c>
      <c r="M42">
        <v>0.01</v>
      </c>
      <c r="N42">
        <v>9.9999997764825821E-3</v>
      </c>
      <c r="O42" s="22">
        <v>46254.035705324073</v>
      </c>
      <c r="P42" t="s">
        <v>29</v>
      </c>
      <c r="Q42" t="s">
        <v>30</v>
      </c>
    </row>
    <row r="43" spans="1:17" x14ac:dyDescent="0.3">
      <c r="A43" t="s">
        <v>21</v>
      </c>
      <c r="B43" t="s">
        <v>42</v>
      </c>
      <c r="C43" t="s">
        <v>23</v>
      </c>
      <c r="D43">
        <v>0.05</v>
      </c>
      <c r="E43" t="s">
        <v>24</v>
      </c>
      <c r="F43" t="s">
        <v>25</v>
      </c>
      <c r="G43" t="s">
        <v>26</v>
      </c>
      <c r="H43" t="s">
        <v>27</v>
      </c>
      <c r="I43" s="9">
        <v>2</v>
      </c>
      <c r="J43" t="str">
        <f t="shared" si="1"/>
        <v>Master Model G10 Grizzly XL_TwoAge_5a_6a_14b_15a_B110.05JAGS_Male_2000</v>
      </c>
      <c r="K43" s="9">
        <v>2</v>
      </c>
      <c r="L43" s="9">
        <f>ROUND(IF(ISNUMBER(SEARCH("Relapse",J43)),_xlfn.XLOOKUP(J43,'Pivot and Calcs'!A:A,'Pivot and Calcs'!T:T),I43),0)</f>
        <v>2</v>
      </c>
      <c r="M43">
        <v>0.01</v>
      </c>
      <c r="N43">
        <v>9.9999997764825821E-3</v>
      </c>
      <c r="O43" s="22">
        <v>46254.035705324073</v>
      </c>
      <c r="P43" t="s">
        <v>29</v>
      </c>
      <c r="Q43" t="s">
        <v>30</v>
      </c>
    </row>
    <row r="44" spans="1:17" x14ac:dyDescent="0.3">
      <c r="A44" t="s">
        <v>21</v>
      </c>
      <c r="B44" t="s">
        <v>42</v>
      </c>
      <c r="C44" t="s">
        <v>23</v>
      </c>
      <c r="D44">
        <v>0.1</v>
      </c>
      <c r="E44" t="s">
        <v>24</v>
      </c>
      <c r="F44" t="s">
        <v>25</v>
      </c>
      <c r="G44" t="s">
        <v>26</v>
      </c>
      <c r="H44" t="s">
        <v>27</v>
      </c>
      <c r="I44" s="9">
        <v>2</v>
      </c>
      <c r="J44" t="str">
        <f t="shared" si="1"/>
        <v>Master Model G10 Grizzly XL_TwoAge_5a_6a_14b_15a_B110.1JAGS_Male_2000</v>
      </c>
      <c r="K44" s="9">
        <v>2</v>
      </c>
      <c r="L44" s="9">
        <f>ROUND(IF(ISNUMBER(SEARCH("Relapse",J44)),_xlfn.XLOOKUP(J44,'Pivot and Calcs'!A:A,'Pivot and Calcs'!T:T),I44),0)</f>
        <v>2</v>
      </c>
      <c r="M44">
        <v>0.01</v>
      </c>
      <c r="N44">
        <v>9.9999997764825821E-3</v>
      </c>
      <c r="O44" s="22">
        <v>46254.035705324073</v>
      </c>
      <c r="P44" t="s">
        <v>29</v>
      </c>
      <c r="Q44" t="s">
        <v>30</v>
      </c>
    </row>
    <row r="45" spans="1:17" x14ac:dyDescent="0.3">
      <c r="A45" t="s">
        <v>21</v>
      </c>
      <c r="B45" t="s">
        <v>42</v>
      </c>
      <c r="C45" t="s">
        <v>32</v>
      </c>
      <c r="D45">
        <v>0.05</v>
      </c>
      <c r="E45" t="s">
        <v>24</v>
      </c>
      <c r="F45" t="s">
        <v>25</v>
      </c>
      <c r="G45" t="s">
        <v>26</v>
      </c>
      <c r="H45" t="s">
        <v>27</v>
      </c>
      <c r="I45" s="9">
        <v>2</v>
      </c>
      <c r="J45" t="str">
        <f t="shared" si="1"/>
        <v>Master Model G10 Grizzly XL_TwoAge_5a_6a_14b_15a_B110.05JAGS_Female_2000</v>
      </c>
      <c r="K45" s="9">
        <v>2</v>
      </c>
      <c r="L45" s="9">
        <f>ROUND(IF(ISNUMBER(SEARCH("Relapse",J45)),_xlfn.XLOOKUP(J45,'Pivot and Calcs'!A:A,'Pivot and Calcs'!T:T),I45),0)</f>
        <v>2</v>
      </c>
      <c r="M45">
        <v>0.01</v>
      </c>
      <c r="N45">
        <v>9.9999997764825821E-3</v>
      </c>
      <c r="O45" s="22">
        <v>46254.035705324073</v>
      </c>
      <c r="P45" t="s">
        <v>29</v>
      </c>
      <c r="Q45" t="s">
        <v>30</v>
      </c>
    </row>
    <row r="46" spans="1:17" x14ac:dyDescent="0.3">
      <c r="A46" t="s">
        <v>21</v>
      </c>
      <c r="B46" t="s">
        <v>42</v>
      </c>
      <c r="C46" t="s">
        <v>32</v>
      </c>
      <c r="D46">
        <v>0.1</v>
      </c>
      <c r="E46" t="s">
        <v>24</v>
      </c>
      <c r="F46" t="s">
        <v>25</v>
      </c>
      <c r="G46" t="s">
        <v>26</v>
      </c>
      <c r="H46" t="s">
        <v>27</v>
      </c>
      <c r="I46" s="9">
        <v>2</v>
      </c>
      <c r="J46" t="str">
        <f t="shared" si="1"/>
        <v>Master Model G10 Grizzly XL_TwoAge_5a_6a_14b_15a_B110.1JAGS_Female_2000</v>
      </c>
      <c r="K46" s="9">
        <v>2</v>
      </c>
      <c r="L46" s="9">
        <f>ROUND(IF(ISNUMBER(SEARCH("Relapse",J46)),_xlfn.XLOOKUP(J46,'Pivot and Calcs'!A:A,'Pivot and Calcs'!T:T),I46),0)</f>
        <v>2</v>
      </c>
      <c r="M46">
        <v>0.01</v>
      </c>
      <c r="N46">
        <v>9.9999997764825821E-3</v>
      </c>
      <c r="O46" s="22">
        <v>46254.035705324073</v>
      </c>
      <c r="P46" t="s">
        <v>29</v>
      </c>
      <c r="Q46" t="s">
        <v>30</v>
      </c>
    </row>
    <row r="47" spans="1:17" x14ac:dyDescent="0.3">
      <c r="A47" t="s">
        <v>21</v>
      </c>
      <c r="B47" t="s">
        <v>43</v>
      </c>
      <c r="C47" t="s">
        <v>23</v>
      </c>
      <c r="D47">
        <v>0.05</v>
      </c>
      <c r="E47" t="s">
        <v>24</v>
      </c>
      <c r="F47" t="s">
        <v>25</v>
      </c>
      <c r="G47" t="s">
        <v>26</v>
      </c>
      <c r="H47" t="s">
        <v>27</v>
      </c>
      <c r="I47" s="9">
        <v>2260</v>
      </c>
      <c r="J47" t="str">
        <f t="shared" si="1"/>
        <v>Master Model G25 Grizzly XL_TwoAge_5a_6a_14b_15a_B010.05JAGS_Male_2000</v>
      </c>
      <c r="K47" s="9">
        <v>2260</v>
      </c>
      <c r="L47" s="9">
        <f>ROUND(IF(ISNUMBER(SEARCH("Relapse",J47)),_xlfn.XLOOKUP(J47,'Pivot and Calcs'!A:A,'Pivot and Calcs'!T:T),I47),0)</f>
        <v>2260</v>
      </c>
      <c r="M47">
        <v>0.01</v>
      </c>
      <c r="N47">
        <v>9.9999997764825821E-3</v>
      </c>
      <c r="O47" s="22">
        <v>46254.687780439817</v>
      </c>
      <c r="P47" t="s">
        <v>29</v>
      </c>
      <c r="Q47" t="s">
        <v>30</v>
      </c>
    </row>
    <row r="48" spans="1:17" x14ac:dyDescent="0.3">
      <c r="A48" t="s">
        <v>21</v>
      </c>
      <c r="B48" t="s">
        <v>43</v>
      </c>
      <c r="C48" t="s">
        <v>23</v>
      </c>
      <c r="D48">
        <v>0.1</v>
      </c>
      <c r="E48" t="s">
        <v>24</v>
      </c>
      <c r="F48" t="s">
        <v>25</v>
      </c>
      <c r="G48" t="s">
        <v>26</v>
      </c>
      <c r="H48" t="s">
        <v>27</v>
      </c>
      <c r="I48" s="9">
        <v>1697</v>
      </c>
      <c r="J48" t="str">
        <f t="shared" si="1"/>
        <v>Master Model G25 Grizzly XL_TwoAge_5a_6a_14b_15a_B010.1JAGS_Male_2000</v>
      </c>
      <c r="K48" s="9">
        <v>1697</v>
      </c>
      <c r="L48" s="9">
        <f>ROUND(IF(ISNUMBER(SEARCH("Relapse",J48)),_xlfn.XLOOKUP(J48,'Pivot and Calcs'!A:A,'Pivot and Calcs'!T:T),I48),0)</f>
        <v>1697</v>
      </c>
      <c r="M48">
        <v>0.01</v>
      </c>
      <c r="N48">
        <v>9.9999997764825821E-3</v>
      </c>
      <c r="O48" s="22">
        <v>46254.687780439817</v>
      </c>
      <c r="P48" t="s">
        <v>29</v>
      </c>
      <c r="Q48" t="s">
        <v>30</v>
      </c>
    </row>
    <row r="49" spans="1:17" x14ac:dyDescent="0.3">
      <c r="A49" t="s">
        <v>21</v>
      </c>
      <c r="B49" t="s">
        <v>43</v>
      </c>
      <c r="C49" t="s">
        <v>32</v>
      </c>
      <c r="D49">
        <v>0.05</v>
      </c>
      <c r="E49" t="s">
        <v>24</v>
      </c>
      <c r="F49" t="s">
        <v>25</v>
      </c>
      <c r="G49" t="s">
        <v>26</v>
      </c>
      <c r="H49" t="s">
        <v>27</v>
      </c>
      <c r="I49" s="9">
        <v>1916</v>
      </c>
      <c r="J49" t="str">
        <f t="shared" si="1"/>
        <v>Master Model G25 Grizzly XL_TwoAge_5a_6a_14b_15a_B010.05JAGS_Female_2000</v>
      </c>
      <c r="K49" s="9">
        <v>1916</v>
      </c>
      <c r="L49" s="9">
        <f>ROUND(IF(ISNUMBER(SEARCH("Relapse",J49)),_xlfn.XLOOKUP(J49,'Pivot and Calcs'!A:A,'Pivot and Calcs'!T:T),I49),0)</f>
        <v>1916</v>
      </c>
      <c r="M49">
        <v>0.01</v>
      </c>
      <c r="N49">
        <v>9.9999997764825821E-3</v>
      </c>
      <c r="O49" s="22">
        <v>46254.687780439817</v>
      </c>
      <c r="P49" t="s">
        <v>29</v>
      </c>
      <c r="Q49" t="s">
        <v>30</v>
      </c>
    </row>
    <row r="50" spans="1:17" x14ac:dyDescent="0.3">
      <c r="A50" t="s">
        <v>21</v>
      </c>
      <c r="B50" t="s">
        <v>43</v>
      </c>
      <c r="C50" t="s">
        <v>32</v>
      </c>
      <c r="D50">
        <v>0.1</v>
      </c>
      <c r="E50" t="s">
        <v>24</v>
      </c>
      <c r="F50" t="s">
        <v>25</v>
      </c>
      <c r="G50" t="s">
        <v>26</v>
      </c>
      <c r="H50" t="s">
        <v>27</v>
      </c>
      <c r="I50" s="9">
        <v>1462</v>
      </c>
      <c r="J50" t="str">
        <f t="shared" si="1"/>
        <v>Master Model G25 Grizzly XL_TwoAge_5a_6a_14b_15a_B010.1JAGS_Female_2000</v>
      </c>
      <c r="K50" s="9">
        <v>1462</v>
      </c>
      <c r="L50" s="9">
        <f>ROUND(IF(ISNUMBER(SEARCH("Relapse",J50)),_xlfn.XLOOKUP(J50,'Pivot and Calcs'!A:A,'Pivot and Calcs'!T:T),I50),0)</f>
        <v>1462</v>
      </c>
      <c r="M50">
        <v>0.01</v>
      </c>
      <c r="N50">
        <v>9.9999997764825821E-3</v>
      </c>
      <c r="O50" s="22">
        <v>46254.687780439817</v>
      </c>
      <c r="P50" t="s">
        <v>29</v>
      </c>
      <c r="Q50" t="s">
        <v>30</v>
      </c>
    </row>
    <row r="51" spans="1:17" x14ac:dyDescent="0.3">
      <c r="A51" t="s">
        <v>21</v>
      </c>
      <c r="B51" t="s">
        <v>44</v>
      </c>
      <c r="C51" t="s">
        <v>23</v>
      </c>
      <c r="D51">
        <v>0.05</v>
      </c>
      <c r="E51" t="s">
        <v>24</v>
      </c>
      <c r="F51" t="s">
        <v>25</v>
      </c>
      <c r="G51" t="s">
        <v>26</v>
      </c>
      <c r="H51" t="s">
        <v>27</v>
      </c>
      <c r="I51" s="9">
        <v>2085</v>
      </c>
      <c r="J51" t="str">
        <f t="shared" si="1"/>
        <v>Master Model G25 Grizzly XL_TwoAge_5a_6a_14b_15a_B020.05JAGS_Male_2000</v>
      </c>
      <c r="K51" s="9">
        <v>2085</v>
      </c>
      <c r="L51" s="9">
        <f>ROUND(IF(ISNUMBER(SEARCH("Relapse",J51)),_xlfn.XLOOKUP(J51,'Pivot and Calcs'!A:A,'Pivot and Calcs'!T:T),I51),0)</f>
        <v>2085</v>
      </c>
      <c r="M51">
        <v>0.01</v>
      </c>
      <c r="N51">
        <v>9.9999997764825821E-3</v>
      </c>
      <c r="O51" s="22">
        <v>46254.687780451393</v>
      </c>
      <c r="P51" t="s">
        <v>29</v>
      </c>
      <c r="Q51" t="s">
        <v>30</v>
      </c>
    </row>
    <row r="52" spans="1:17" x14ac:dyDescent="0.3">
      <c r="A52" t="s">
        <v>21</v>
      </c>
      <c r="B52" t="s">
        <v>44</v>
      </c>
      <c r="C52" t="s">
        <v>23</v>
      </c>
      <c r="D52">
        <v>0.1</v>
      </c>
      <c r="E52" t="s">
        <v>24</v>
      </c>
      <c r="F52" t="s">
        <v>25</v>
      </c>
      <c r="G52" t="s">
        <v>26</v>
      </c>
      <c r="H52" t="s">
        <v>27</v>
      </c>
      <c r="I52" s="9">
        <v>1647</v>
      </c>
      <c r="J52" t="str">
        <f t="shared" si="1"/>
        <v>Master Model G25 Grizzly XL_TwoAge_5a_6a_14b_15a_B020.1JAGS_Male_2000</v>
      </c>
      <c r="K52" s="9">
        <v>1647</v>
      </c>
      <c r="L52" s="9">
        <f>ROUND(IF(ISNUMBER(SEARCH("Relapse",J52)),_xlfn.XLOOKUP(J52,'Pivot and Calcs'!A:A,'Pivot and Calcs'!T:T),I52),0)</f>
        <v>1647</v>
      </c>
      <c r="M52">
        <v>0.01</v>
      </c>
      <c r="N52">
        <v>9.9999997764825821E-3</v>
      </c>
      <c r="O52" s="22">
        <v>46254.687780451393</v>
      </c>
      <c r="P52" t="s">
        <v>29</v>
      </c>
      <c r="Q52" t="s">
        <v>30</v>
      </c>
    </row>
    <row r="53" spans="1:17" x14ac:dyDescent="0.3">
      <c r="A53" t="s">
        <v>21</v>
      </c>
      <c r="B53" t="s">
        <v>44</v>
      </c>
      <c r="C53" t="s">
        <v>32</v>
      </c>
      <c r="D53">
        <v>0.05</v>
      </c>
      <c r="E53" t="s">
        <v>24</v>
      </c>
      <c r="F53" t="s">
        <v>25</v>
      </c>
      <c r="G53" t="s">
        <v>26</v>
      </c>
      <c r="H53" t="s">
        <v>27</v>
      </c>
      <c r="I53" s="9">
        <v>1737</v>
      </c>
      <c r="J53" t="str">
        <f t="shared" si="1"/>
        <v>Master Model G25 Grizzly XL_TwoAge_5a_6a_14b_15a_B020.05JAGS_Female_2000</v>
      </c>
      <c r="K53" s="9">
        <v>1737</v>
      </c>
      <c r="L53" s="9">
        <f>ROUND(IF(ISNUMBER(SEARCH("Relapse",J53)),_xlfn.XLOOKUP(J53,'Pivot and Calcs'!A:A,'Pivot and Calcs'!T:T),I53),0)</f>
        <v>1737</v>
      </c>
      <c r="M53">
        <v>0.01</v>
      </c>
      <c r="N53">
        <v>9.9999997764825821E-3</v>
      </c>
      <c r="O53" s="22">
        <v>46254.687780451393</v>
      </c>
      <c r="P53" t="s">
        <v>29</v>
      </c>
      <c r="Q53" t="s">
        <v>30</v>
      </c>
    </row>
    <row r="54" spans="1:17" x14ac:dyDescent="0.3">
      <c r="A54" t="s">
        <v>21</v>
      </c>
      <c r="B54" t="s">
        <v>44</v>
      </c>
      <c r="C54" t="s">
        <v>32</v>
      </c>
      <c r="D54">
        <v>0.1</v>
      </c>
      <c r="E54" t="s">
        <v>24</v>
      </c>
      <c r="F54" t="s">
        <v>25</v>
      </c>
      <c r="G54" t="s">
        <v>26</v>
      </c>
      <c r="H54" t="s">
        <v>27</v>
      </c>
      <c r="I54" s="9">
        <v>1386</v>
      </c>
      <c r="J54" t="str">
        <f t="shared" si="1"/>
        <v>Master Model G25 Grizzly XL_TwoAge_5a_6a_14b_15a_B020.1JAGS_Female_2000</v>
      </c>
      <c r="K54" s="9">
        <v>1386</v>
      </c>
      <c r="L54" s="9">
        <f>ROUND(IF(ISNUMBER(SEARCH("Relapse",J54)),_xlfn.XLOOKUP(J54,'Pivot and Calcs'!A:A,'Pivot and Calcs'!T:T),I54),0)</f>
        <v>1386</v>
      </c>
      <c r="M54">
        <v>0.01</v>
      </c>
      <c r="N54">
        <v>9.9999997764825821E-3</v>
      </c>
      <c r="O54" s="22">
        <v>46254.687780451393</v>
      </c>
      <c r="P54" t="s">
        <v>29</v>
      </c>
      <c r="Q54" t="s">
        <v>30</v>
      </c>
    </row>
    <row r="55" spans="1:17" x14ac:dyDescent="0.3">
      <c r="A55" t="s">
        <v>21</v>
      </c>
      <c r="B55" t="s">
        <v>45</v>
      </c>
      <c r="C55" t="s">
        <v>23</v>
      </c>
      <c r="D55">
        <v>0.05</v>
      </c>
      <c r="E55" t="s">
        <v>24</v>
      </c>
      <c r="F55" t="s">
        <v>25</v>
      </c>
      <c r="G55" t="s">
        <v>26</v>
      </c>
      <c r="H55" t="s">
        <v>27</v>
      </c>
      <c r="I55" s="9">
        <v>1478</v>
      </c>
      <c r="J55" t="str">
        <f t="shared" si="1"/>
        <v>Master Model G25 Grizzly XL_TwoAge_5a_6a_14b_15a_B030.05JAGS_Male_2000</v>
      </c>
      <c r="K55" s="9">
        <v>1478</v>
      </c>
      <c r="L55" s="9">
        <f>ROUND(IF(ISNUMBER(SEARCH("Relapse",J55)),_xlfn.XLOOKUP(J55,'Pivot and Calcs'!A:A,'Pivot and Calcs'!T:T),I55),0)</f>
        <v>1478</v>
      </c>
      <c r="M55">
        <v>0.01</v>
      </c>
      <c r="N55">
        <v>9.9999997764825821E-3</v>
      </c>
      <c r="O55" s="22">
        <v>46254.687780451393</v>
      </c>
      <c r="P55" t="s">
        <v>29</v>
      </c>
      <c r="Q55" t="s">
        <v>30</v>
      </c>
    </row>
    <row r="56" spans="1:17" x14ac:dyDescent="0.3">
      <c r="A56" t="s">
        <v>21</v>
      </c>
      <c r="B56" t="s">
        <v>45</v>
      </c>
      <c r="C56" t="s">
        <v>23</v>
      </c>
      <c r="D56">
        <v>0.1</v>
      </c>
      <c r="E56" t="s">
        <v>24</v>
      </c>
      <c r="F56" t="s">
        <v>25</v>
      </c>
      <c r="G56" t="s">
        <v>26</v>
      </c>
      <c r="H56" t="s">
        <v>27</v>
      </c>
      <c r="I56" s="9">
        <v>1240</v>
      </c>
      <c r="J56" t="str">
        <f t="shared" si="1"/>
        <v>Master Model G25 Grizzly XL_TwoAge_5a_6a_14b_15a_B030.1JAGS_Male_2000</v>
      </c>
      <c r="K56" s="9">
        <v>1240</v>
      </c>
      <c r="L56" s="9">
        <f>ROUND(IF(ISNUMBER(SEARCH("Relapse",J56)),_xlfn.XLOOKUP(J56,'Pivot and Calcs'!A:A,'Pivot and Calcs'!T:T),I56),0)</f>
        <v>1240</v>
      </c>
      <c r="M56">
        <v>0.01</v>
      </c>
      <c r="N56">
        <v>9.9999997764825821E-3</v>
      </c>
      <c r="O56" s="22">
        <v>46254.687780451393</v>
      </c>
      <c r="P56" t="s">
        <v>29</v>
      </c>
      <c r="Q56" t="s">
        <v>30</v>
      </c>
    </row>
    <row r="57" spans="1:17" x14ac:dyDescent="0.3">
      <c r="A57" t="s">
        <v>21</v>
      </c>
      <c r="B57" t="s">
        <v>45</v>
      </c>
      <c r="C57" t="s">
        <v>32</v>
      </c>
      <c r="D57">
        <v>0.05</v>
      </c>
      <c r="E57" t="s">
        <v>24</v>
      </c>
      <c r="F57" t="s">
        <v>25</v>
      </c>
      <c r="G57" t="s">
        <v>26</v>
      </c>
      <c r="H57" t="s">
        <v>27</v>
      </c>
      <c r="I57" s="9">
        <v>1181</v>
      </c>
      <c r="J57" t="str">
        <f t="shared" si="1"/>
        <v>Master Model G25 Grizzly XL_TwoAge_5a_6a_14b_15a_B030.05JAGS_Female_2000</v>
      </c>
      <c r="K57" s="9">
        <v>1181</v>
      </c>
      <c r="L57" s="9">
        <f>ROUND(IF(ISNUMBER(SEARCH("Relapse",J57)),_xlfn.XLOOKUP(J57,'Pivot and Calcs'!A:A,'Pivot and Calcs'!T:T),I57),0)</f>
        <v>1181</v>
      </c>
      <c r="M57">
        <v>0.01</v>
      </c>
      <c r="N57">
        <v>9.9999997764825821E-3</v>
      </c>
      <c r="O57" s="22">
        <v>46254.687780451393</v>
      </c>
      <c r="P57" t="s">
        <v>29</v>
      </c>
      <c r="Q57" t="s">
        <v>30</v>
      </c>
    </row>
    <row r="58" spans="1:17" x14ac:dyDescent="0.3">
      <c r="A58" t="s">
        <v>21</v>
      </c>
      <c r="B58" t="s">
        <v>45</v>
      </c>
      <c r="C58" t="s">
        <v>32</v>
      </c>
      <c r="D58">
        <v>0.1</v>
      </c>
      <c r="E58" t="s">
        <v>24</v>
      </c>
      <c r="F58" t="s">
        <v>25</v>
      </c>
      <c r="G58" t="s">
        <v>26</v>
      </c>
      <c r="H58" t="s">
        <v>27</v>
      </c>
      <c r="I58" s="9">
        <v>994</v>
      </c>
      <c r="J58" t="str">
        <f t="shared" si="1"/>
        <v>Master Model G25 Grizzly XL_TwoAge_5a_6a_14b_15a_B030.1JAGS_Female_2000</v>
      </c>
      <c r="K58" s="9">
        <v>994</v>
      </c>
      <c r="L58" s="9">
        <f>ROUND(IF(ISNUMBER(SEARCH("Relapse",J58)),_xlfn.XLOOKUP(J58,'Pivot and Calcs'!A:A,'Pivot and Calcs'!T:T),I58),0)</f>
        <v>994</v>
      </c>
      <c r="M58">
        <v>0.01</v>
      </c>
      <c r="N58">
        <v>9.9999997764825821E-3</v>
      </c>
      <c r="O58" s="22">
        <v>46254.687780451393</v>
      </c>
      <c r="P58" t="s">
        <v>29</v>
      </c>
      <c r="Q58" t="s">
        <v>30</v>
      </c>
    </row>
    <row r="59" spans="1:17" x14ac:dyDescent="0.3">
      <c r="A59" t="s">
        <v>21</v>
      </c>
      <c r="B59" t="s">
        <v>46</v>
      </c>
      <c r="C59" t="s">
        <v>23</v>
      </c>
      <c r="D59">
        <v>0.05</v>
      </c>
      <c r="E59" t="s">
        <v>24</v>
      </c>
      <c r="F59" t="s">
        <v>25</v>
      </c>
      <c r="G59" t="s">
        <v>26</v>
      </c>
      <c r="H59" t="s">
        <v>27</v>
      </c>
      <c r="I59" s="9">
        <v>1052</v>
      </c>
      <c r="J59" t="str">
        <f t="shared" si="1"/>
        <v>Master Model G25 Grizzly XL_TwoAge_5a_6a_14b_15a_B040.05JAGS_Male_2000</v>
      </c>
      <c r="K59" s="9">
        <v>1052</v>
      </c>
      <c r="L59" s="9">
        <f>ROUND(IF(ISNUMBER(SEARCH("Relapse",J59)),_xlfn.XLOOKUP(J59,'Pivot and Calcs'!A:A,'Pivot and Calcs'!T:T),I59),0)</f>
        <v>1052</v>
      </c>
      <c r="M59">
        <v>0.01</v>
      </c>
      <c r="N59">
        <v>9.9999997764825821E-3</v>
      </c>
      <c r="O59" s="22">
        <v>46254.687780451393</v>
      </c>
      <c r="P59" t="s">
        <v>29</v>
      </c>
      <c r="Q59" t="s">
        <v>30</v>
      </c>
    </row>
    <row r="60" spans="1:17" x14ac:dyDescent="0.3">
      <c r="A60" t="s">
        <v>21</v>
      </c>
      <c r="B60" t="s">
        <v>46</v>
      </c>
      <c r="C60" t="s">
        <v>23</v>
      </c>
      <c r="D60">
        <v>0.1</v>
      </c>
      <c r="E60" t="s">
        <v>24</v>
      </c>
      <c r="F60" t="s">
        <v>25</v>
      </c>
      <c r="G60" t="s">
        <v>26</v>
      </c>
      <c r="H60" t="s">
        <v>27</v>
      </c>
      <c r="I60" s="9">
        <v>948</v>
      </c>
      <c r="J60" t="str">
        <f t="shared" si="1"/>
        <v>Master Model G25 Grizzly XL_TwoAge_5a_6a_14b_15a_B040.1JAGS_Male_2000</v>
      </c>
      <c r="K60" s="9">
        <v>948</v>
      </c>
      <c r="L60" s="9">
        <f>ROUND(IF(ISNUMBER(SEARCH("Relapse",J60)),_xlfn.XLOOKUP(J60,'Pivot and Calcs'!A:A,'Pivot and Calcs'!T:T),I60),0)</f>
        <v>948</v>
      </c>
      <c r="M60">
        <v>0.01</v>
      </c>
      <c r="N60">
        <v>9.9999997764825821E-3</v>
      </c>
      <c r="O60" s="22">
        <v>46254.687780451393</v>
      </c>
      <c r="P60" t="s">
        <v>29</v>
      </c>
      <c r="Q60" t="s">
        <v>30</v>
      </c>
    </row>
    <row r="61" spans="1:17" x14ac:dyDescent="0.3">
      <c r="A61" t="s">
        <v>21</v>
      </c>
      <c r="B61" t="s">
        <v>46</v>
      </c>
      <c r="C61" t="s">
        <v>32</v>
      </c>
      <c r="D61">
        <v>0.05</v>
      </c>
      <c r="E61" t="s">
        <v>24</v>
      </c>
      <c r="F61" t="s">
        <v>25</v>
      </c>
      <c r="G61" t="s">
        <v>26</v>
      </c>
      <c r="H61" t="s">
        <v>27</v>
      </c>
      <c r="I61" s="9">
        <v>853</v>
      </c>
      <c r="J61" t="str">
        <f t="shared" si="1"/>
        <v>Master Model G25 Grizzly XL_TwoAge_5a_6a_14b_15a_B040.05JAGS_Female_2000</v>
      </c>
      <c r="K61" s="9">
        <v>853</v>
      </c>
      <c r="L61" s="9">
        <f>ROUND(IF(ISNUMBER(SEARCH("Relapse",J61)),_xlfn.XLOOKUP(J61,'Pivot and Calcs'!A:A,'Pivot and Calcs'!T:T),I61),0)</f>
        <v>853</v>
      </c>
      <c r="M61">
        <v>0.01</v>
      </c>
      <c r="N61">
        <v>9.9999997764825821E-3</v>
      </c>
      <c r="O61" s="22">
        <v>46254.687780451393</v>
      </c>
      <c r="P61" t="s">
        <v>29</v>
      </c>
      <c r="Q61" t="s">
        <v>30</v>
      </c>
    </row>
    <row r="62" spans="1:17" x14ac:dyDescent="0.3">
      <c r="A62" t="s">
        <v>21</v>
      </c>
      <c r="B62" t="s">
        <v>46</v>
      </c>
      <c r="C62" t="s">
        <v>32</v>
      </c>
      <c r="D62">
        <v>0.1</v>
      </c>
      <c r="E62" t="s">
        <v>24</v>
      </c>
      <c r="F62" t="s">
        <v>25</v>
      </c>
      <c r="G62" t="s">
        <v>26</v>
      </c>
      <c r="H62" t="s">
        <v>27</v>
      </c>
      <c r="I62" s="9">
        <v>772</v>
      </c>
      <c r="J62" t="str">
        <f t="shared" si="1"/>
        <v>Master Model G25 Grizzly XL_TwoAge_5a_6a_14b_15a_B040.1JAGS_Female_2000</v>
      </c>
      <c r="K62" s="9">
        <v>772</v>
      </c>
      <c r="L62" s="9">
        <f>ROUND(IF(ISNUMBER(SEARCH("Relapse",J62)),_xlfn.XLOOKUP(J62,'Pivot and Calcs'!A:A,'Pivot and Calcs'!T:T),I62),0)</f>
        <v>772</v>
      </c>
      <c r="M62">
        <v>0.01</v>
      </c>
      <c r="N62">
        <v>9.9999997764825821E-3</v>
      </c>
      <c r="O62" s="22">
        <v>46254.687780451393</v>
      </c>
      <c r="P62" t="s">
        <v>29</v>
      </c>
      <c r="Q62" t="s">
        <v>30</v>
      </c>
    </row>
    <row r="63" spans="1:17" x14ac:dyDescent="0.3">
      <c r="A63" t="s">
        <v>21</v>
      </c>
      <c r="B63" t="s">
        <v>47</v>
      </c>
      <c r="C63" t="s">
        <v>23</v>
      </c>
      <c r="D63">
        <v>0.05</v>
      </c>
      <c r="E63" t="s">
        <v>24</v>
      </c>
      <c r="F63" t="s">
        <v>25</v>
      </c>
      <c r="G63" t="s">
        <v>26</v>
      </c>
      <c r="H63" t="s">
        <v>27</v>
      </c>
      <c r="I63" s="9">
        <v>716</v>
      </c>
      <c r="J63" t="str">
        <f t="shared" si="1"/>
        <v>Master Model G25 Grizzly XL_TwoAge_5a_6a_14b_15a_B050.05JAGS_Male_2000</v>
      </c>
      <c r="K63" s="9">
        <v>716</v>
      </c>
      <c r="L63" s="9">
        <f>ROUND(IF(ISNUMBER(SEARCH("Relapse",J63)),_xlfn.XLOOKUP(J63,'Pivot and Calcs'!A:A,'Pivot and Calcs'!T:T),I63),0)</f>
        <v>716</v>
      </c>
      <c r="M63">
        <v>0.01</v>
      </c>
      <c r="N63">
        <v>9.9999997764825821E-3</v>
      </c>
      <c r="O63" s="22">
        <v>46254.687780451393</v>
      </c>
      <c r="P63" t="s">
        <v>29</v>
      </c>
      <c r="Q63" t="s">
        <v>30</v>
      </c>
    </row>
    <row r="64" spans="1:17" x14ac:dyDescent="0.3">
      <c r="A64" t="s">
        <v>21</v>
      </c>
      <c r="B64" t="s">
        <v>47</v>
      </c>
      <c r="C64" t="s">
        <v>23</v>
      </c>
      <c r="D64">
        <v>0.1</v>
      </c>
      <c r="E64" t="s">
        <v>24</v>
      </c>
      <c r="F64" t="s">
        <v>25</v>
      </c>
      <c r="G64" t="s">
        <v>26</v>
      </c>
      <c r="H64" t="s">
        <v>27</v>
      </c>
      <c r="I64" s="9">
        <v>650</v>
      </c>
      <c r="J64" t="str">
        <f t="shared" si="1"/>
        <v>Master Model G25 Grizzly XL_TwoAge_5a_6a_14b_15a_B050.1JAGS_Male_2000</v>
      </c>
      <c r="K64" s="9">
        <v>650</v>
      </c>
      <c r="L64" s="9">
        <f>ROUND(IF(ISNUMBER(SEARCH("Relapse",J64)),_xlfn.XLOOKUP(J64,'Pivot and Calcs'!A:A,'Pivot and Calcs'!T:T),I64),0)</f>
        <v>650</v>
      </c>
      <c r="M64">
        <v>0.01</v>
      </c>
      <c r="N64">
        <v>9.9999997764825821E-3</v>
      </c>
      <c r="O64" s="22">
        <v>46254.687780451393</v>
      </c>
      <c r="P64" t="s">
        <v>29</v>
      </c>
      <c r="Q64" t="s">
        <v>30</v>
      </c>
    </row>
    <row r="65" spans="1:17" x14ac:dyDescent="0.3">
      <c r="A65" t="s">
        <v>21</v>
      </c>
      <c r="B65" t="s">
        <v>47</v>
      </c>
      <c r="C65" t="s">
        <v>32</v>
      </c>
      <c r="D65">
        <v>0.05</v>
      </c>
      <c r="E65" t="s">
        <v>24</v>
      </c>
      <c r="F65" t="s">
        <v>25</v>
      </c>
      <c r="G65" t="s">
        <v>26</v>
      </c>
      <c r="H65" t="s">
        <v>27</v>
      </c>
      <c r="I65" s="9">
        <v>596</v>
      </c>
      <c r="J65" t="str">
        <f t="shared" si="1"/>
        <v>Master Model G25 Grizzly XL_TwoAge_5a_6a_14b_15a_B050.05JAGS_Female_2000</v>
      </c>
      <c r="K65" s="9">
        <v>596</v>
      </c>
      <c r="L65" s="9">
        <f>ROUND(IF(ISNUMBER(SEARCH("Relapse",J65)),_xlfn.XLOOKUP(J65,'Pivot and Calcs'!A:A,'Pivot and Calcs'!T:T),I65),0)</f>
        <v>596</v>
      </c>
      <c r="M65">
        <v>0.01</v>
      </c>
      <c r="N65">
        <v>9.9999997764825821E-3</v>
      </c>
      <c r="O65" s="22">
        <v>46254.687780451393</v>
      </c>
      <c r="P65" t="s">
        <v>29</v>
      </c>
      <c r="Q65" t="s">
        <v>30</v>
      </c>
    </row>
    <row r="66" spans="1:17" x14ac:dyDescent="0.3">
      <c r="A66" t="s">
        <v>21</v>
      </c>
      <c r="B66" t="s">
        <v>47</v>
      </c>
      <c r="C66" t="s">
        <v>32</v>
      </c>
      <c r="D66">
        <v>0.1</v>
      </c>
      <c r="E66" t="s">
        <v>24</v>
      </c>
      <c r="F66" t="s">
        <v>25</v>
      </c>
      <c r="G66" t="s">
        <v>26</v>
      </c>
      <c r="H66" t="s">
        <v>27</v>
      </c>
      <c r="I66" s="9">
        <v>542</v>
      </c>
      <c r="J66" t="str">
        <f t="shared" si="1"/>
        <v>Master Model G25 Grizzly XL_TwoAge_5a_6a_14b_15a_B050.1JAGS_Female_2000</v>
      </c>
      <c r="K66" s="9">
        <v>542</v>
      </c>
      <c r="L66" s="9">
        <f>ROUND(IF(ISNUMBER(SEARCH("Relapse",J66)),_xlfn.XLOOKUP(J66,'Pivot and Calcs'!A:A,'Pivot and Calcs'!T:T),I66),0)</f>
        <v>542</v>
      </c>
      <c r="M66">
        <v>0.01</v>
      </c>
      <c r="N66">
        <v>9.9999997764825821E-3</v>
      </c>
      <c r="O66" s="22">
        <v>46254.687780451393</v>
      </c>
      <c r="P66" t="s">
        <v>29</v>
      </c>
      <c r="Q66" t="s">
        <v>30</v>
      </c>
    </row>
    <row r="67" spans="1:17" x14ac:dyDescent="0.3">
      <c r="A67" t="s">
        <v>21</v>
      </c>
      <c r="B67" t="s">
        <v>48</v>
      </c>
      <c r="C67" t="s">
        <v>23</v>
      </c>
      <c r="D67">
        <v>0.05</v>
      </c>
      <c r="E67" t="s">
        <v>24</v>
      </c>
      <c r="F67" t="s">
        <v>25</v>
      </c>
      <c r="G67" t="s">
        <v>26</v>
      </c>
      <c r="H67" t="s">
        <v>27</v>
      </c>
      <c r="I67" s="9">
        <v>483</v>
      </c>
      <c r="J67" t="str">
        <f t="shared" ref="J67:J98" si="2">B67&amp;D67&amp;C67</f>
        <v>Master Model G25 Grizzly XL_TwoAge_5a_6a_14b_15a_B060.05JAGS_Male_2000</v>
      </c>
      <c r="K67" s="9">
        <v>483</v>
      </c>
      <c r="L67" s="9">
        <f>ROUND(IF(ISNUMBER(SEARCH("Relapse",J67)),_xlfn.XLOOKUP(J67,'Pivot and Calcs'!A:A,'Pivot and Calcs'!T:T),I67),0)</f>
        <v>483</v>
      </c>
      <c r="M67">
        <v>0.01</v>
      </c>
      <c r="N67">
        <v>9.9999997764825821E-3</v>
      </c>
      <c r="O67" s="22">
        <v>46254.687780451393</v>
      </c>
      <c r="P67" t="s">
        <v>29</v>
      </c>
      <c r="Q67" t="s">
        <v>30</v>
      </c>
    </row>
    <row r="68" spans="1:17" x14ac:dyDescent="0.3">
      <c r="A68" t="s">
        <v>21</v>
      </c>
      <c r="B68" t="s">
        <v>48</v>
      </c>
      <c r="C68" t="s">
        <v>23</v>
      </c>
      <c r="D68">
        <v>0.1</v>
      </c>
      <c r="E68" t="s">
        <v>24</v>
      </c>
      <c r="F68" t="s">
        <v>25</v>
      </c>
      <c r="G68" t="s">
        <v>26</v>
      </c>
      <c r="H68" t="s">
        <v>27</v>
      </c>
      <c r="I68" s="9">
        <v>439</v>
      </c>
      <c r="J68" t="str">
        <f t="shared" si="2"/>
        <v>Master Model G25 Grizzly XL_TwoAge_5a_6a_14b_15a_B060.1JAGS_Male_2000</v>
      </c>
      <c r="K68" s="9">
        <v>439</v>
      </c>
      <c r="L68" s="9">
        <f>ROUND(IF(ISNUMBER(SEARCH("Relapse",J68)),_xlfn.XLOOKUP(J68,'Pivot and Calcs'!A:A,'Pivot and Calcs'!T:T),I68),0)</f>
        <v>439</v>
      </c>
      <c r="M68">
        <v>0.01</v>
      </c>
      <c r="N68">
        <v>9.9999997764825821E-3</v>
      </c>
      <c r="O68" s="22">
        <v>46254.687780451393</v>
      </c>
      <c r="P68" t="s">
        <v>29</v>
      </c>
      <c r="Q68" t="s">
        <v>30</v>
      </c>
    </row>
    <row r="69" spans="1:17" x14ac:dyDescent="0.3">
      <c r="A69" t="s">
        <v>21</v>
      </c>
      <c r="B69" t="s">
        <v>48</v>
      </c>
      <c r="C69" t="s">
        <v>32</v>
      </c>
      <c r="D69">
        <v>0.05</v>
      </c>
      <c r="E69" t="s">
        <v>24</v>
      </c>
      <c r="F69" t="s">
        <v>25</v>
      </c>
      <c r="G69" t="s">
        <v>26</v>
      </c>
      <c r="H69" t="s">
        <v>27</v>
      </c>
      <c r="I69" s="9">
        <v>412</v>
      </c>
      <c r="J69" t="str">
        <f t="shared" si="2"/>
        <v>Master Model G25 Grizzly XL_TwoAge_5a_6a_14b_15a_B060.05JAGS_Female_2000</v>
      </c>
      <c r="K69" s="9">
        <v>412</v>
      </c>
      <c r="L69" s="9">
        <f>ROUND(IF(ISNUMBER(SEARCH("Relapse",J69)),_xlfn.XLOOKUP(J69,'Pivot and Calcs'!A:A,'Pivot and Calcs'!T:T),I69),0)</f>
        <v>412</v>
      </c>
      <c r="M69">
        <v>0.01</v>
      </c>
      <c r="N69">
        <v>9.9999997764825821E-3</v>
      </c>
      <c r="O69" s="22">
        <v>46254.687780462962</v>
      </c>
      <c r="P69" t="s">
        <v>29</v>
      </c>
      <c r="Q69" t="s">
        <v>30</v>
      </c>
    </row>
    <row r="70" spans="1:17" x14ac:dyDescent="0.3">
      <c r="A70" t="s">
        <v>21</v>
      </c>
      <c r="B70" t="s">
        <v>48</v>
      </c>
      <c r="C70" t="s">
        <v>32</v>
      </c>
      <c r="D70">
        <v>0.1</v>
      </c>
      <c r="E70" t="s">
        <v>24</v>
      </c>
      <c r="F70" t="s">
        <v>25</v>
      </c>
      <c r="G70" t="s">
        <v>26</v>
      </c>
      <c r="H70" t="s">
        <v>27</v>
      </c>
      <c r="I70" s="9">
        <v>375</v>
      </c>
      <c r="J70" t="str">
        <f t="shared" si="2"/>
        <v>Master Model G25 Grizzly XL_TwoAge_5a_6a_14b_15a_B060.1JAGS_Female_2000</v>
      </c>
      <c r="K70" s="9">
        <v>375</v>
      </c>
      <c r="L70" s="9">
        <f>ROUND(IF(ISNUMBER(SEARCH("Relapse",J70)),_xlfn.XLOOKUP(J70,'Pivot and Calcs'!A:A,'Pivot and Calcs'!T:T),I70),0)</f>
        <v>375</v>
      </c>
      <c r="M70">
        <v>0.01</v>
      </c>
      <c r="N70">
        <v>9.9999997764825821E-3</v>
      </c>
      <c r="O70" s="22">
        <v>46254.687780462962</v>
      </c>
      <c r="P70" t="s">
        <v>29</v>
      </c>
      <c r="Q70" t="s">
        <v>30</v>
      </c>
    </row>
    <row r="71" spans="1:17" x14ac:dyDescent="0.3">
      <c r="A71" t="s">
        <v>21</v>
      </c>
      <c r="B71" t="s">
        <v>49</v>
      </c>
      <c r="C71" t="s">
        <v>23</v>
      </c>
      <c r="D71">
        <v>0.05</v>
      </c>
      <c r="E71" t="s">
        <v>24</v>
      </c>
      <c r="F71" t="s">
        <v>25</v>
      </c>
      <c r="G71" t="s">
        <v>26</v>
      </c>
      <c r="H71" t="s">
        <v>27</v>
      </c>
      <c r="I71" s="9">
        <v>241</v>
      </c>
      <c r="J71" t="str">
        <f t="shared" si="2"/>
        <v>Master Model G25 Grizzly XL_TwoAge_5a_6a_14b_15a_B070.05JAGS_Male_2000</v>
      </c>
      <c r="K71" s="9">
        <v>241</v>
      </c>
      <c r="L71" s="9">
        <f>ROUND(IF(ISNUMBER(SEARCH("Relapse",J71)),_xlfn.XLOOKUP(J71,'Pivot and Calcs'!A:A,'Pivot and Calcs'!T:T),I71),0)</f>
        <v>241</v>
      </c>
      <c r="M71">
        <v>0.01</v>
      </c>
      <c r="N71">
        <v>9.9999997764825821E-3</v>
      </c>
      <c r="O71" s="22">
        <v>46254.687780462962</v>
      </c>
      <c r="P71" t="s">
        <v>29</v>
      </c>
      <c r="Q71" t="s">
        <v>30</v>
      </c>
    </row>
    <row r="72" spans="1:17" x14ac:dyDescent="0.3">
      <c r="A72" t="s">
        <v>21</v>
      </c>
      <c r="B72" t="s">
        <v>49</v>
      </c>
      <c r="C72" t="s">
        <v>23</v>
      </c>
      <c r="D72">
        <v>0.1</v>
      </c>
      <c r="E72" t="s">
        <v>24</v>
      </c>
      <c r="F72" t="s">
        <v>25</v>
      </c>
      <c r="G72" t="s">
        <v>26</v>
      </c>
      <c r="H72" t="s">
        <v>27</v>
      </c>
      <c r="I72" s="9">
        <v>220</v>
      </c>
      <c r="J72" t="str">
        <f t="shared" si="2"/>
        <v>Master Model G25 Grizzly XL_TwoAge_5a_6a_14b_15a_B070.1JAGS_Male_2000</v>
      </c>
      <c r="K72" s="9">
        <v>220</v>
      </c>
      <c r="L72" s="9">
        <f>ROUND(IF(ISNUMBER(SEARCH("Relapse",J72)),_xlfn.XLOOKUP(J72,'Pivot and Calcs'!A:A,'Pivot and Calcs'!T:T),I72),0)</f>
        <v>220</v>
      </c>
      <c r="M72">
        <v>0.01</v>
      </c>
      <c r="N72">
        <v>9.9999997764825821E-3</v>
      </c>
      <c r="O72" s="22">
        <v>46254.687780462962</v>
      </c>
      <c r="P72" t="s">
        <v>29</v>
      </c>
      <c r="Q72" t="s">
        <v>30</v>
      </c>
    </row>
    <row r="73" spans="1:17" x14ac:dyDescent="0.3">
      <c r="A73" t="s">
        <v>21</v>
      </c>
      <c r="B73" t="s">
        <v>49</v>
      </c>
      <c r="C73" t="s">
        <v>32</v>
      </c>
      <c r="D73">
        <v>0.05</v>
      </c>
      <c r="E73" t="s">
        <v>24</v>
      </c>
      <c r="F73" t="s">
        <v>25</v>
      </c>
      <c r="G73" t="s">
        <v>26</v>
      </c>
      <c r="H73" t="s">
        <v>27</v>
      </c>
      <c r="I73" s="9">
        <v>211</v>
      </c>
      <c r="J73" t="str">
        <f t="shared" si="2"/>
        <v>Master Model G25 Grizzly XL_TwoAge_5a_6a_14b_15a_B070.05JAGS_Female_2000</v>
      </c>
      <c r="K73" s="9">
        <v>211</v>
      </c>
      <c r="L73" s="9">
        <f>ROUND(IF(ISNUMBER(SEARCH("Relapse",J73)),_xlfn.XLOOKUP(J73,'Pivot and Calcs'!A:A,'Pivot and Calcs'!T:T),I73),0)</f>
        <v>211</v>
      </c>
      <c r="M73">
        <v>0.01</v>
      </c>
      <c r="N73">
        <v>9.9999997764825821E-3</v>
      </c>
      <c r="O73" s="22">
        <v>46254.687780462962</v>
      </c>
      <c r="P73" t="s">
        <v>29</v>
      </c>
      <c r="Q73" t="s">
        <v>30</v>
      </c>
    </row>
    <row r="74" spans="1:17" x14ac:dyDescent="0.3">
      <c r="A74" t="s">
        <v>21</v>
      </c>
      <c r="B74" t="s">
        <v>49</v>
      </c>
      <c r="C74" t="s">
        <v>32</v>
      </c>
      <c r="D74">
        <v>0.1</v>
      </c>
      <c r="E74" t="s">
        <v>24</v>
      </c>
      <c r="F74" t="s">
        <v>25</v>
      </c>
      <c r="G74" t="s">
        <v>26</v>
      </c>
      <c r="H74" t="s">
        <v>27</v>
      </c>
      <c r="I74" s="9">
        <v>193</v>
      </c>
      <c r="J74" t="str">
        <f t="shared" si="2"/>
        <v>Master Model G25 Grizzly XL_TwoAge_5a_6a_14b_15a_B070.1JAGS_Female_2000</v>
      </c>
      <c r="K74" s="9">
        <v>193</v>
      </c>
      <c r="L74" s="9">
        <f>ROUND(IF(ISNUMBER(SEARCH("Relapse",J74)),_xlfn.XLOOKUP(J74,'Pivot and Calcs'!A:A,'Pivot and Calcs'!T:T),I74),0)</f>
        <v>193</v>
      </c>
      <c r="M74">
        <v>0.01</v>
      </c>
      <c r="N74">
        <v>9.9999997764825821E-3</v>
      </c>
      <c r="O74" s="22">
        <v>46254.687780462962</v>
      </c>
      <c r="P74" t="s">
        <v>29</v>
      </c>
      <c r="Q74" t="s">
        <v>30</v>
      </c>
    </row>
    <row r="75" spans="1:17" x14ac:dyDescent="0.3">
      <c r="A75" t="s">
        <v>21</v>
      </c>
      <c r="B75" t="s">
        <v>50</v>
      </c>
      <c r="C75" t="s">
        <v>23</v>
      </c>
      <c r="D75">
        <v>0.05</v>
      </c>
      <c r="E75" t="s">
        <v>24</v>
      </c>
      <c r="F75" t="s">
        <v>25</v>
      </c>
      <c r="G75" t="s">
        <v>26</v>
      </c>
      <c r="H75" t="s">
        <v>27</v>
      </c>
      <c r="I75" s="9">
        <v>80</v>
      </c>
      <c r="J75" t="str">
        <f t="shared" si="2"/>
        <v>Master Model G25 Grizzly XL_TwoAge_5a_6a_14b_15a_B080.05JAGS_Male_2000</v>
      </c>
      <c r="K75" s="9">
        <v>80</v>
      </c>
      <c r="L75" s="9">
        <f>ROUND(IF(ISNUMBER(SEARCH("Relapse",J75)),_xlfn.XLOOKUP(J75,'Pivot and Calcs'!A:A,'Pivot and Calcs'!T:T),I75),0)</f>
        <v>80</v>
      </c>
      <c r="M75">
        <v>0.01</v>
      </c>
      <c r="N75">
        <v>9.9999997764825821E-3</v>
      </c>
      <c r="O75" s="22">
        <v>46254.687780462962</v>
      </c>
      <c r="P75" t="s">
        <v>29</v>
      </c>
      <c r="Q75" t="s">
        <v>30</v>
      </c>
    </row>
    <row r="76" spans="1:17" x14ac:dyDescent="0.3">
      <c r="A76" t="s">
        <v>21</v>
      </c>
      <c r="B76" t="s">
        <v>50</v>
      </c>
      <c r="C76" t="s">
        <v>23</v>
      </c>
      <c r="D76">
        <v>0.1</v>
      </c>
      <c r="E76" t="s">
        <v>24</v>
      </c>
      <c r="F76" t="s">
        <v>25</v>
      </c>
      <c r="G76" t="s">
        <v>26</v>
      </c>
      <c r="H76" t="s">
        <v>27</v>
      </c>
      <c r="I76" s="9">
        <v>73</v>
      </c>
      <c r="J76" t="str">
        <f t="shared" si="2"/>
        <v>Master Model G25 Grizzly XL_TwoAge_5a_6a_14b_15a_B080.1JAGS_Male_2000</v>
      </c>
      <c r="K76" s="9">
        <v>73</v>
      </c>
      <c r="L76" s="9">
        <f>ROUND(IF(ISNUMBER(SEARCH("Relapse",J76)),_xlfn.XLOOKUP(J76,'Pivot and Calcs'!A:A,'Pivot and Calcs'!T:T),I76),0)</f>
        <v>73</v>
      </c>
      <c r="M76">
        <v>0.01</v>
      </c>
      <c r="N76">
        <v>9.9999997764825821E-3</v>
      </c>
      <c r="O76" s="22">
        <v>46254.687780462962</v>
      </c>
      <c r="P76" t="s">
        <v>29</v>
      </c>
      <c r="Q76" t="s">
        <v>30</v>
      </c>
    </row>
    <row r="77" spans="1:17" x14ac:dyDescent="0.3">
      <c r="A77" t="s">
        <v>21</v>
      </c>
      <c r="B77" t="s">
        <v>50</v>
      </c>
      <c r="C77" t="s">
        <v>32</v>
      </c>
      <c r="D77">
        <v>0.05</v>
      </c>
      <c r="E77" t="s">
        <v>24</v>
      </c>
      <c r="F77" t="s">
        <v>25</v>
      </c>
      <c r="G77" t="s">
        <v>26</v>
      </c>
      <c r="H77" t="s">
        <v>27</v>
      </c>
      <c r="I77" s="9">
        <v>72</v>
      </c>
      <c r="J77" t="str">
        <f t="shared" si="2"/>
        <v>Master Model G25 Grizzly XL_TwoAge_5a_6a_14b_15a_B080.05JAGS_Female_2000</v>
      </c>
      <c r="K77" s="9">
        <v>72</v>
      </c>
      <c r="L77" s="9">
        <f>ROUND(IF(ISNUMBER(SEARCH("Relapse",J77)),_xlfn.XLOOKUP(J77,'Pivot and Calcs'!A:A,'Pivot and Calcs'!T:T),I77),0)</f>
        <v>72</v>
      </c>
      <c r="M77">
        <v>0.01</v>
      </c>
      <c r="N77">
        <v>9.9999997764825821E-3</v>
      </c>
      <c r="O77" s="22">
        <v>46254.687780462962</v>
      </c>
      <c r="P77" t="s">
        <v>29</v>
      </c>
      <c r="Q77" t="s">
        <v>30</v>
      </c>
    </row>
    <row r="78" spans="1:17" x14ac:dyDescent="0.3">
      <c r="A78" t="s">
        <v>21</v>
      </c>
      <c r="B78" t="s">
        <v>50</v>
      </c>
      <c r="C78" t="s">
        <v>32</v>
      </c>
      <c r="D78">
        <v>0.1</v>
      </c>
      <c r="E78" t="s">
        <v>24</v>
      </c>
      <c r="F78" t="s">
        <v>25</v>
      </c>
      <c r="G78" t="s">
        <v>26</v>
      </c>
      <c r="H78" t="s">
        <v>27</v>
      </c>
      <c r="I78" s="9">
        <v>66</v>
      </c>
      <c r="J78" t="str">
        <f t="shared" si="2"/>
        <v>Master Model G25 Grizzly XL_TwoAge_5a_6a_14b_15a_B080.1JAGS_Female_2000</v>
      </c>
      <c r="K78" s="9">
        <v>66</v>
      </c>
      <c r="L78" s="9">
        <f>ROUND(IF(ISNUMBER(SEARCH("Relapse",J78)),_xlfn.XLOOKUP(J78,'Pivot and Calcs'!A:A,'Pivot and Calcs'!T:T),I78),0)</f>
        <v>66</v>
      </c>
      <c r="M78">
        <v>0.01</v>
      </c>
      <c r="N78">
        <v>9.9999997764825821E-3</v>
      </c>
      <c r="O78" s="22">
        <v>46254.687780462962</v>
      </c>
      <c r="P78" t="s">
        <v>29</v>
      </c>
      <c r="Q78" t="s">
        <v>30</v>
      </c>
    </row>
    <row r="79" spans="1:17" x14ac:dyDescent="0.3">
      <c r="A79" t="s">
        <v>21</v>
      </c>
      <c r="B79" t="s">
        <v>51</v>
      </c>
      <c r="C79" t="s">
        <v>23</v>
      </c>
      <c r="D79">
        <v>0.05</v>
      </c>
      <c r="E79" t="s">
        <v>24</v>
      </c>
      <c r="F79" t="s">
        <v>25</v>
      </c>
      <c r="G79" t="s">
        <v>26</v>
      </c>
      <c r="H79" t="s">
        <v>27</v>
      </c>
      <c r="I79" s="9">
        <v>22</v>
      </c>
      <c r="J79" t="str">
        <f t="shared" si="2"/>
        <v>Master Model G25 Grizzly XL_TwoAge_5a_6a_14b_15a_B090.05JAGS_Male_2000</v>
      </c>
      <c r="K79" s="9">
        <v>22</v>
      </c>
      <c r="L79" s="9">
        <f>ROUND(IF(ISNUMBER(SEARCH("Relapse",J79)),_xlfn.XLOOKUP(J79,'Pivot and Calcs'!A:A,'Pivot and Calcs'!T:T),I79),0)</f>
        <v>22</v>
      </c>
      <c r="M79">
        <v>0.01</v>
      </c>
      <c r="N79">
        <v>9.9999997764825821E-3</v>
      </c>
      <c r="O79" s="22">
        <v>46254.687780462962</v>
      </c>
      <c r="P79" t="s">
        <v>29</v>
      </c>
      <c r="Q79" t="s">
        <v>30</v>
      </c>
    </row>
    <row r="80" spans="1:17" x14ac:dyDescent="0.3">
      <c r="A80" t="s">
        <v>21</v>
      </c>
      <c r="B80" t="s">
        <v>51</v>
      </c>
      <c r="C80" t="s">
        <v>23</v>
      </c>
      <c r="D80">
        <v>0.1</v>
      </c>
      <c r="E80" t="s">
        <v>24</v>
      </c>
      <c r="F80" t="s">
        <v>25</v>
      </c>
      <c r="G80" t="s">
        <v>26</v>
      </c>
      <c r="H80" t="s">
        <v>27</v>
      </c>
      <c r="I80" s="9">
        <v>20</v>
      </c>
      <c r="J80" t="str">
        <f t="shared" si="2"/>
        <v>Master Model G25 Grizzly XL_TwoAge_5a_6a_14b_15a_B090.1JAGS_Male_2000</v>
      </c>
      <c r="K80" s="9">
        <v>20</v>
      </c>
      <c r="L80" s="9">
        <f>ROUND(IF(ISNUMBER(SEARCH("Relapse",J80)),_xlfn.XLOOKUP(J80,'Pivot and Calcs'!A:A,'Pivot and Calcs'!T:T),I80),0)</f>
        <v>20</v>
      </c>
      <c r="M80">
        <v>0.01</v>
      </c>
      <c r="N80">
        <v>9.9999997764825821E-3</v>
      </c>
      <c r="O80" s="22">
        <v>46254.687780462962</v>
      </c>
      <c r="P80" t="s">
        <v>29</v>
      </c>
      <c r="Q80" t="s">
        <v>30</v>
      </c>
    </row>
    <row r="81" spans="1:17" x14ac:dyDescent="0.3">
      <c r="A81" t="s">
        <v>21</v>
      </c>
      <c r="B81" t="s">
        <v>51</v>
      </c>
      <c r="C81" t="s">
        <v>32</v>
      </c>
      <c r="D81">
        <v>0.05</v>
      </c>
      <c r="E81" t="s">
        <v>24</v>
      </c>
      <c r="F81" t="s">
        <v>25</v>
      </c>
      <c r="G81" t="s">
        <v>26</v>
      </c>
      <c r="H81" t="s">
        <v>27</v>
      </c>
      <c r="I81" s="9">
        <v>21</v>
      </c>
      <c r="J81" t="str">
        <f t="shared" si="2"/>
        <v>Master Model G25 Grizzly XL_TwoAge_5a_6a_14b_15a_B090.05JAGS_Female_2000</v>
      </c>
      <c r="K81" s="9">
        <v>21</v>
      </c>
      <c r="L81" s="9">
        <f>ROUND(IF(ISNUMBER(SEARCH("Relapse",J81)),_xlfn.XLOOKUP(J81,'Pivot and Calcs'!A:A,'Pivot and Calcs'!T:T),I81),0)</f>
        <v>21</v>
      </c>
      <c r="M81">
        <v>0.01</v>
      </c>
      <c r="N81">
        <v>9.9999997764825821E-3</v>
      </c>
      <c r="O81" s="22">
        <v>46254.687780462962</v>
      </c>
      <c r="P81" t="s">
        <v>29</v>
      </c>
      <c r="Q81" t="s">
        <v>30</v>
      </c>
    </row>
    <row r="82" spans="1:17" x14ac:dyDescent="0.3">
      <c r="A82" t="s">
        <v>21</v>
      </c>
      <c r="B82" t="s">
        <v>51</v>
      </c>
      <c r="C82" t="s">
        <v>32</v>
      </c>
      <c r="D82">
        <v>0.1</v>
      </c>
      <c r="E82" t="s">
        <v>24</v>
      </c>
      <c r="F82" t="s">
        <v>25</v>
      </c>
      <c r="G82" t="s">
        <v>26</v>
      </c>
      <c r="H82" t="s">
        <v>27</v>
      </c>
      <c r="I82" s="9">
        <v>19</v>
      </c>
      <c r="J82" t="str">
        <f t="shared" si="2"/>
        <v>Master Model G25 Grizzly XL_TwoAge_5a_6a_14b_15a_B090.1JAGS_Female_2000</v>
      </c>
      <c r="K82" s="9">
        <v>19</v>
      </c>
      <c r="L82" s="9">
        <f>ROUND(IF(ISNUMBER(SEARCH("Relapse",J82)),_xlfn.XLOOKUP(J82,'Pivot and Calcs'!A:A,'Pivot and Calcs'!T:T),I82),0)</f>
        <v>19</v>
      </c>
      <c r="M82">
        <v>0.01</v>
      </c>
      <c r="N82">
        <v>9.9999997764825821E-3</v>
      </c>
      <c r="O82" s="22">
        <v>46254.687780462962</v>
      </c>
      <c r="P82" t="s">
        <v>29</v>
      </c>
      <c r="Q82" t="s">
        <v>30</v>
      </c>
    </row>
    <row r="83" spans="1:17" x14ac:dyDescent="0.3">
      <c r="A83" t="s">
        <v>21</v>
      </c>
      <c r="B83" t="s">
        <v>52</v>
      </c>
      <c r="C83" t="s">
        <v>23</v>
      </c>
      <c r="D83">
        <v>0.05</v>
      </c>
      <c r="E83" t="s">
        <v>24</v>
      </c>
      <c r="F83" t="s">
        <v>25</v>
      </c>
      <c r="G83" t="s">
        <v>26</v>
      </c>
      <c r="H83" t="s">
        <v>27</v>
      </c>
      <c r="I83" s="9">
        <v>9</v>
      </c>
      <c r="J83" t="str">
        <f t="shared" si="2"/>
        <v>Master Model G25 Grizzly XL_TwoAge_5a_6a_14b_15a_B100.05JAGS_Male_2000</v>
      </c>
      <c r="K83" s="9">
        <v>9</v>
      </c>
      <c r="L83" s="9">
        <f>ROUND(IF(ISNUMBER(SEARCH("Relapse",J83)),_xlfn.XLOOKUP(J83,'Pivot and Calcs'!A:A,'Pivot and Calcs'!T:T),I83),0)</f>
        <v>9</v>
      </c>
      <c r="M83">
        <v>0.01</v>
      </c>
      <c r="N83">
        <v>9.9999997764825821E-3</v>
      </c>
      <c r="O83" s="22">
        <v>46254.687780462962</v>
      </c>
      <c r="P83" t="s">
        <v>29</v>
      </c>
      <c r="Q83" t="s">
        <v>30</v>
      </c>
    </row>
    <row r="84" spans="1:17" x14ac:dyDescent="0.3">
      <c r="A84" t="s">
        <v>21</v>
      </c>
      <c r="B84" t="s">
        <v>52</v>
      </c>
      <c r="C84" t="s">
        <v>23</v>
      </c>
      <c r="D84">
        <v>0.1</v>
      </c>
      <c r="E84" t="s">
        <v>24</v>
      </c>
      <c r="F84" t="s">
        <v>25</v>
      </c>
      <c r="G84" t="s">
        <v>26</v>
      </c>
      <c r="H84" t="s">
        <v>27</v>
      </c>
      <c r="I84" s="9">
        <v>8</v>
      </c>
      <c r="J84" t="str">
        <f t="shared" si="2"/>
        <v>Master Model G25 Grizzly XL_TwoAge_5a_6a_14b_15a_B100.1JAGS_Male_2000</v>
      </c>
      <c r="K84" s="9">
        <v>8</v>
      </c>
      <c r="L84" s="9">
        <f>ROUND(IF(ISNUMBER(SEARCH("Relapse",J84)),_xlfn.XLOOKUP(J84,'Pivot and Calcs'!A:A,'Pivot and Calcs'!T:T),I84),0)</f>
        <v>8</v>
      </c>
      <c r="M84">
        <v>0.01</v>
      </c>
      <c r="N84">
        <v>9.9999997764825821E-3</v>
      </c>
      <c r="O84" s="22">
        <v>46254.687780462962</v>
      </c>
      <c r="P84" t="s">
        <v>29</v>
      </c>
      <c r="Q84" t="s">
        <v>30</v>
      </c>
    </row>
    <row r="85" spans="1:17" x14ac:dyDescent="0.3">
      <c r="A85" t="s">
        <v>21</v>
      </c>
      <c r="B85" t="s">
        <v>52</v>
      </c>
      <c r="C85" t="s">
        <v>32</v>
      </c>
      <c r="D85">
        <v>0.05</v>
      </c>
      <c r="E85" t="s">
        <v>24</v>
      </c>
      <c r="F85" t="s">
        <v>25</v>
      </c>
      <c r="G85" t="s">
        <v>26</v>
      </c>
      <c r="H85" t="s">
        <v>27</v>
      </c>
      <c r="I85" s="9">
        <v>8</v>
      </c>
      <c r="J85" t="str">
        <f t="shared" si="2"/>
        <v>Master Model G25 Grizzly XL_TwoAge_5a_6a_14b_15a_B100.05JAGS_Female_2000</v>
      </c>
      <c r="K85" s="9">
        <v>8</v>
      </c>
      <c r="L85" s="9">
        <f>ROUND(IF(ISNUMBER(SEARCH("Relapse",J85)),_xlfn.XLOOKUP(J85,'Pivot and Calcs'!A:A,'Pivot and Calcs'!T:T),I85),0)</f>
        <v>8</v>
      </c>
      <c r="M85">
        <v>0.01</v>
      </c>
      <c r="N85">
        <v>9.9999997764825821E-3</v>
      </c>
      <c r="O85" s="22">
        <v>46254.687780462962</v>
      </c>
      <c r="P85" t="s">
        <v>29</v>
      </c>
      <c r="Q85" t="s">
        <v>30</v>
      </c>
    </row>
    <row r="86" spans="1:17" x14ac:dyDescent="0.3">
      <c r="A86" t="s">
        <v>21</v>
      </c>
      <c r="B86" t="s">
        <v>52</v>
      </c>
      <c r="C86" t="s">
        <v>32</v>
      </c>
      <c r="D86">
        <v>0.1</v>
      </c>
      <c r="E86" t="s">
        <v>24</v>
      </c>
      <c r="F86" t="s">
        <v>25</v>
      </c>
      <c r="G86" t="s">
        <v>26</v>
      </c>
      <c r="H86" t="s">
        <v>27</v>
      </c>
      <c r="I86" s="9">
        <v>7</v>
      </c>
      <c r="J86" t="str">
        <f t="shared" si="2"/>
        <v>Master Model G25 Grizzly XL_TwoAge_5a_6a_14b_15a_B100.1JAGS_Female_2000</v>
      </c>
      <c r="K86" s="9">
        <v>7</v>
      </c>
      <c r="L86" s="9">
        <f>ROUND(IF(ISNUMBER(SEARCH("Relapse",J86)),_xlfn.XLOOKUP(J86,'Pivot and Calcs'!A:A,'Pivot and Calcs'!T:T),I86),0)</f>
        <v>7</v>
      </c>
      <c r="M86">
        <v>0.01</v>
      </c>
      <c r="N86">
        <v>9.9999997764825821E-3</v>
      </c>
      <c r="O86" s="22">
        <v>46254.687780474538</v>
      </c>
      <c r="P86" t="s">
        <v>29</v>
      </c>
      <c r="Q86" t="s">
        <v>30</v>
      </c>
    </row>
    <row r="87" spans="1:17" x14ac:dyDescent="0.3">
      <c r="A87" t="s">
        <v>21</v>
      </c>
      <c r="B87" t="s">
        <v>53</v>
      </c>
      <c r="C87" t="s">
        <v>23</v>
      </c>
      <c r="D87">
        <v>0.05</v>
      </c>
      <c r="E87" t="s">
        <v>24</v>
      </c>
      <c r="F87" t="s">
        <v>25</v>
      </c>
      <c r="G87" t="s">
        <v>26</v>
      </c>
      <c r="H87" t="s">
        <v>27</v>
      </c>
      <c r="I87" s="9">
        <v>2</v>
      </c>
      <c r="J87" t="str">
        <f t="shared" si="2"/>
        <v>Master Model G25 Grizzly XL_TwoAge_5a_6a_14b_15a_B110.05JAGS_Male_2000</v>
      </c>
      <c r="K87" s="9">
        <v>2</v>
      </c>
      <c r="L87" s="9">
        <f>ROUND(IF(ISNUMBER(SEARCH("Relapse",J87)),_xlfn.XLOOKUP(J87,'Pivot and Calcs'!A:A,'Pivot and Calcs'!T:T),I87),0)</f>
        <v>2</v>
      </c>
      <c r="M87">
        <v>0.01</v>
      </c>
      <c r="N87">
        <v>9.9999997764825821E-3</v>
      </c>
      <c r="O87" s="22">
        <v>46254.687780474538</v>
      </c>
      <c r="P87" t="s">
        <v>29</v>
      </c>
      <c r="Q87" t="s">
        <v>30</v>
      </c>
    </row>
    <row r="88" spans="1:17" x14ac:dyDescent="0.3">
      <c r="A88" t="s">
        <v>21</v>
      </c>
      <c r="B88" t="s">
        <v>53</v>
      </c>
      <c r="C88" t="s">
        <v>23</v>
      </c>
      <c r="D88">
        <v>0.1</v>
      </c>
      <c r="E88" t="s">
        <v>24</v>
      </c>
      <c r="F88" t="s">
        <v>25</v>
      </c>
      <c r="G88" t="s">
        <v>26</v>
      </c>
      <c r="H88" t="s">
        <v>27</v>
      </c>
      <c r="I88" s="9">
        <v>2</v>
      </c>
      <c r="J88" t="str">
        <f t="shared" si="2"/>
        <v>Master Model G25 Grizzly XL_TwoAge_5a_6a_14b_15a_B110.1JAGS_Male_2000</v>
      </c>
      <c r="K88" s="9">
        <v>2</v>
      </c>
      <c r="L88" s="9">
        <f>ROUND(IF(ISNUMBER(SEARCH("Relapse",J88)),_xlfn.XLOOKUP(J88,'Pivot and Calcs'!A:A,'Pivot and Calcs'!T:T),I88),0)</f>
        <v>2</v>
      </c>
      <c r="M88">
        <v>0.01</v>
      </c>
      <c r="N88">
        <v>9.9999997764825821E-3</v>
      </c>
      <c r="O88" s="22">
        <v>46254.687780474538</v>
      </c>
      <c r="P88" t="s">
        <v>29</v>
      </c>
      <c r="Q88" t="s">
        <v>30</v>
      </c>
    </row>
    <row r="89" spans="1:17" x14ac:dyDescent="0.3">
      <c r="A89" t="s">
        <v>21</v>
      </c>
      <c r="B89" t="s">
        <v>53</v>
      </c>
      <c r="C89" t="s">
        <v>32</v>
      </c>
      <c r="D89">
        <v>0.05</v>
      </c>
      <c r="E89" t="s">
        <v>24</v>
      </c>
      <c r="F89" t="s">
        <v>25</v>
      </c>
      <c r="G89" t="s">
        <v>26</v>
      </c>
      <c r="H89" t="s">
        <v>27</v>
      </c>
      <c r="I89" s="9">
        <v>2</v>
      </c>
      <c r="J89" t="str">
        <f t="shared" si="2"/>
        <v>Master Model G25 Grizzly XL_TwoAge_5a_6a_14b_15a_B110.05JAGS_Female_2000</v>
      </c>
      <c r="K89" s="9">
        <v>2</v>
      </c>
      <c r="L89" s="9">
        <f>ROUND(IF(ISNUMBER(SEARCH("Relapse",J89)),_xlfn.XLOOKUP(J89,'Pivot and Calcs'!A:A,'Pivot and Calcs'!T:T),I89),0)</f>
        <v>2</v>
      </c>
      <c r="M89">
        <v>0.01</v>
      </c>
      <c r="N89">
        <v>9.9999997764825821E-3</v>
      </c>
      <c r="O89" s="22">
        <v>46254.687780474538</v>
      </c>
      <c r="P89" t="s">
        <v>29</v>
      </c>
      <c r="Q89" t="s">
        <v>30</v>
      </c>
    </row>
    <row r="90" spans="1:17" x14ac:dyDescent="0.3">
      <c r="A90" t="s">
        <v>21</v>
      </c>
      <c r="B90" t="s">
        <v>53</v>
      </c>
      <c r="C90" t="s">
        <v>32</v>
      </c>
      <c r="D90">
        <v>0.1</v>
      </c>
      <c r="E90" t="s">
        <v>24</v>
      </c>
      <c r="F90" t="s">
        <v>25</v>
      </c>
      <c r="G90" t="s">
        <v>26</v>
      </c>
      <c r="H90" t="s">
        <v>27</v>
      </c>
      <c r="I90" s="9">
        <v>2</v>
      </c>
      <c r="J90" t="str">
        <f t="shared" si="2"/>
        <v>Master Model G25 Grizzly XL_TwoAge_5a_6a_14b_15a_B110.1JAGS_Female_2000</v>
      </c>
      <c r="K90" s="9">
        <v>2</v>
      </c>
      <c r="L90" s="9">
        <f>ROUND(IF(ISNUMBER(SEARCH("Relapse",J90)),_xlfn.XLOOKUP(J90,'Pivot and Calcs'!A:A,'Pivot and Calcs'!T:T),I90),0)</f>
        <v>2</v>
      </c>
      <c r="M90">
        <v>0.01</v>
      </c>
      <c r="N90">
        <v>9.9999997764825821E-3</v>
      </c>
      <c r="O90" s="22">
        <v>46254.687780474538</v>
      </c>
      <c r="P90" t="s">
        <v>29</v>
      </c>
      <c r="Q90" t="s">
        <v>30</v>
      </c>
    </row>
    <row r="91" spans="1:17" x14ac:dyDescent="0.3">
      <c r="A91" t="s">
        <v>21</v>
      </c>
      <c r="B91" t="s">
        <v>54</v>
      </c>
      <c r="C91" t="s">
        <v>23</v>
      </c>
      <c r="D91">
        <v>0.05</v>
      </c>
      <c r="E91" t="s">
        <v>24</v>
      </c>
      <c r="F91" t="s">
        <v>25</v>
      </c>
      <c r="G91" t="s">
        <v>26</v>
      </c>
      <c r="H91" t="s">
        <v>27</v>
      </c>
      <c r="I91" s="9">
        <v>2719</v>
      </c>
      <c r="J91" t="str">
        <f t="shared" si="2"/>
        <v>Master Model G10 Grizzly XL Relapse_TwoAge_B010.05JAGS_Male_2000</v>
      </c>
      <c r="K91" s="9">
        <v>2472</v>
      </c>
      <c r="L91" s="9">
        <f>ROUND(IF(ISNUMBER(SEARCH("Relapse",J91)),_xlfn.XLOOKUP(J91,'Pivot and Calcs'!A:A,'Pivot and Calcs'!T:T),I91),0)</f>
        <v>2472</v>
      </c>
      <c r="M91">
        <v>0.01</v>
      </c>
      <c r="N91">
        <v>9.9999997764825821E-3</v>
      </c>
      <c r="O91" s="22">
        <v>46254.772531828698</v>
      </c>
      <c r="P91" t="s">
        <v>29</v>
      </c>
      <c r="Q91" t="s">
        <v>30</v>
      </c>
    </row>
    <row r="92" spans="1:17" x14ac:dyDescent="0.3">
      <c r="A92" t="s">
        <v>21</v>
      </c>
      <c r="B92" t="s">
        <v>54</v>
      </c>
      <c r="C92" t="s">
        <v>23</v>
      </c>
      <c r="D92">
        <v>0.1</v>
      </c>
      <c r="E92" t="s">
        <v>24</v>
      </c>
      <c r="F92" t="s">
        <v>25</v>
      </c>
      <c r="G92" t="s">
        <v>26</v>
      </c>
      <c r="H92" t="s">
        <v>27</v>
      </c>
      <c r="I92" s="9">
        <v>2103</v>
      </c>
      <c r="J92" t="str">
        <f t="shared" si="2"/>
        <v>Master Model G10 Grizzly XL Relapse_TwoAge_B010.1JAGS_Male_2000</v>
      </c>
      <c r="K92" s="9">
        <v>1856</v>
      </c>
      <c r="L92" s="9">
        <f>ROUND(IF(ISNUMBER(SEARCH("Relapse",J92)),_xlfn.XLOOKUP(J92,'Pivot and Calcs'!A:A,'Pivot and Calcs'!T:T),I92),0)</f>
        <v>1856</v>
      </c>
      <c r="M92">
        <v>0.01</v>
      </c>
      <c r="N92">
        <v>9.9999997764825821E-3</v>
      </c>
      <c r="O92" s="22">
        <v>46254.772532314812</v>
      </c>
      <c r="P92" t="s">
        <v>29</v>
      </c>
      <c r="Q92" t="s">
        <v>30</v>
      </c>
    </row>
    <row r="93" spans="1:17" x14ac:dyDescent="0.3">
      <c r="A93" t="s">
        <v>21</v>
      </c>
      <c r="B93" t="s">
        <v>54</v>
      </c>
      <c r="C93" t="s">
        <v>32</v>
      </c>
      <c r="D93">
        <v>0.05</v>
      </c>
      <c r="E93" t="s">
        <v>24</v>
      </c>
      <c r="F93" t="s">
        <v>25</v>
      </c>
      <c r="G93" t="s">
        <v>26</v>
      </c>
      <c r="H93" t="s">
        <v>27</v>
      </c>
      <c r="I93" s="9">
        <v>2326</v>
      </c>
      <c r="J93" t="str">
        <f t="shared" si="2"/>
        <v>Master Model G10 Grizzly XL Relapse_TwoAge_B010.05JAGS_Female_2000</v>
      </c>
      <c r="K93" s="9">
        <v>2130</v>
      </c>
      <c r="L93" s="9">
        <f>ROUND(IF(ISNUMBER(SEARCH("Relapse",J93)),_xlfn.XLOOKUP(J93,'Pivot and Calcs'!A:A,'Pivot and Calcs'!T:T),I93),0)</f>
        <v>2130</v>
      </c>
      <c r="M93">
        <v>0.01</v>
      </c>
      <c r="N93">
        <v>9.9999997764825821E-3</v>
      </c>
      <c r="O93" s="22">
        <v>46254.772532766197</v>
      </c>
      <c r="P93" t="s">
        <v>29</v>
      </c>
      <c r="Q93" t="s">
        <v>30</v>
      </c>
    </row>
    <row r="94" spans="1:17" x14ac:dyDescent="0.3">
      <c r="A94" t="s">
        <v>21</v>
      </c>
      <c r="B94" t="s">
        <v>54</v>
      </c>
      <c r="C94" t="s">
        <v>32</v>
      </c>
      <c r="D94">
        <v>0.1</v>
      </c>
      <c r="E94" t="s">
        <v>24</v>
      </c>
      <c r="F94" t="s">
        <v>25</v>
      </c>
      <c r="G94" t="s">
        <v>26</v>
      </c>
      <c r="H94" t="s">
        <v>27</v>
      </c>
      <c r="I94" s="9">
        <v>1826</v>
      </c>
      <c r="J94" t="str">
        <f t="shared" si="2"/>
        <v>Master Model G10 Grizzly XL Relapse_TwoAge_B010.1JAGS_Female_2000</v>
      </c>
      <c r="K94" s="9">
        <v>1630</v>
      </c>
      <c r="L94" s="9">
        <f>ROUND(IF(ISNUMBER(SEARCH("Relapse",J94)),_xlfn.XLOOKUP(J94,'Pivot and Calcs'!A:A,'Pivot and Calcs'!T:T),I94),0)</f>
        <v>1630</v>
      </c>
      <c r="M94">
        <v>0.01</v>
      </c>
      <c r="N94">
        <v>9.9999997764825821E-3</v>
      </c>
      <c r="O94" s="22">
        <v>46254.772533275464</v>
      </c>
      <c r="P94" t="s">
        <v>29</v>
      </c>
      <c r="Q94" t="s">
        <v>30</v>
      </c>
    </row>
    <row r="95" spans="1:17" x14ac:dyDescent="0.3">
      <c r="A95" t="s">
        <v>21</v>
      </c>
      <c r="B95" t="s">
        <v>55</v>
      </c>
      <c r="C95" t="s">
        <v>23</v>
      </c>
      <c r="D95">
        <v>0.05</v>
      </c>
      <c r="E95" t="s">
        <v>24</v>
      </c>
      <c r="F95" t="s">
        <v>25</v>
      </c>
      <c r="G95" t="s">
        <v>26</v>
      </c>
      <c r="H95" t="s">
        <v>27</v>
      </c>
      <c r="I95" s="9">
        <v>2427</v>
      </c>
      <c r="J95" t="str">
        <f t="shared" si="2"/>
        <v>Master Model G10 Grizzly XL Relapse_TwoAge_B020.05JAGS_Male_2000</v>
      </c>
      <c r="K95" s="9">
        <v>2180</v>
      </c>
      <c r="L95" s="9">
        <f>ROUND(IF(ISNUMBER(SEARCH("Relapse",J95)),_xlfn.XLOOKUP(J95,'Pivot and Calcs'!A:A,'Pivot and Calcs'!T:T),I95),0)</f>
        <v>2180</v>
      </c>
      <c r="M95">
        <v>0.01</v>
      </c>
      <c r="N95">
        <v>9.9999997764825821E-3</v>
      </c>
      <c r="O95" s="22">
        <v>46254.77349832176</v>
      </c>
      <c r="P95" t="s">
        <v>29</v>
      </c>
      <c r="Q95" t="s">
        <v>30</v>
      </c>
    </row>
    <row r="96" spans="1:17" x14ac:dyDescent="0.3">
      <c r="A96" t="s">
        <v>21</v>
      </c>
      <c r="B96" t="s">
        <v>55</v>
      </c>
      <c r="C96" t="s">
        <v>23</v>
      </c>
      <c r="D96">
        <v>0.1</v>
      </c>
      <c r="E96" t="s">
        <v>24</v>
      </c>
      <c r="F96" t="s">
        <v>25</v>
      </c>
      <c r="G96" t="s">
        <v>26</v>
      </c>
      <c r="H96" t="s">
        <v>27</v>
      </c>
      <c r="I96" s="9">
        <v>1959</v>
      </c>
      <c r="J96" t="str">
        <f t="shared" si="2"/>
        <v>Master Model G10 Grizzly XL Relapse_TwoAge_B020.1JAGS_Male_2000</v>
      </c>
      <c r="K96" s="9">
        <v>1711</v>
      </c>
      <c r="L96" s="9">
        <f>ROUND(IF(ISNUMBER(SEARCH("Relapse",J96)),_xlfn.XLOOKUP(J96,'Pivot and Calcs'!A:A,'Pivot and Calcs'!T:T),I96),0)</f>
        <v>1711</v>
      </c>
      <c r="M96">
        <v>0.01</v>
      </c>
      <c r="N96">
        <v>9.9999997764825821E-3</v>
      </c>
      <c r="O96" s="22">
        <v>46254.773498831019</v>
      </c>
      <c r="P96" t="s">
        <v>29</v>
      </c>
      <c r="Q96" t="s">
        <v>30</v>
      </c>
    </row>
    <row r="97" spans="1:17" x14ac:dyDescent="0.3">
      <c r="A97" t="s">
        <v>21</v>
      </c>
      <c r="B97" t="s">
        <v>55</v>
      </c>
      <c r="C97" t="s">
        <v>32</v>
      </c>
      <c r="D97">
        <v>0.05</v>
      </c>
      <c r="E97" t="s">
        <v>24</v>
      </c>
      <c r="F97" t="s">
        <v>25</v>
      </c>
      <c r="G97" t="s">
        <v>26</v>
      </c>
      <c r="H97" t="s">
        <v>27</v>
      </c>
      <c r="I97" s="9">
        <v>2039</v>
      </c>
      <c r="J97" t="str">
        <f t="shared" si="2"/>
        <v>Master Model G10 Grizzly XL Relapse_TwoAge_B020.05JAGS_Female_2000</v>
      </c>
      <c r="K97" s="9">
        <v>1843</v>
      </c>
      <c r="L97" s="9">
        <f>ROUND(IF(ISNUMBER(SEARCH("Relapse",J97)),_xlfn.XLOOKUP(J97,'Pivot and Calcs'!A:A,'Pivot and Calcs'!T:T),I97),0)</f>
        <v>1843</v>
      </c>
      <c r="M97">
        <v>0.01</v>
      </c>
      <c r="N97">
        <v>9.9999997764825821E-3</v>
      </c>
      <c r="O97" s="22">
        <v>46254.773499282397</v>
      </c>
      <c r="P97" t="s">
        <v>29</v>
      </c>
      <c r="Q97" t="s">
        <v>30</v>
      </c>
    </row>
    <row r="98" spans="1:17" x14ac:dyDescent="0.3">
      <c r="A98" t="s">
        <v>21</v>
      </c>
      <c r="B98" t="s">
        <v>55</v>
      </c>
      <c r="C98" t="s">
        <v>32</v>
      </c>
      <c r="D98">
        <v>0.1</v>
      </c>
      <c r="E98" t="s">
        <v>24</v>
      </c>
      <c r="F98" t="s">
        <v>25</v>
      </c>
      <c r="G98" t="s">
        <v>26</v>
      </c>
      <c r="H98" t="s">
        <v>27</v>
      </c>
      <c r="I98" s="9">
        <v>1662</v>
      </c>
      <c r="J98" t="str">
        <f t="shared" si="2"/>
        <v>Master Model G10 Grizzly XL Relapse_TwoAge_B020.1JAGS_Female_2000</v>
      </c>
      <c r="K98" s="9">
        <v>1465</v>
      </c>
      <c r="L98" s="9">
        <f>ROUND(IF(ISNUMBER(SEARCH("Relapse",J98)),_xlfn.XLOOKUP(J98,'Pivot and Calcs'!A:A,'Pivot and Calcs'!T:T),I98),0)</f>
        <v>1465</v>
      </c>
      <c r="M98">
        <v>0.01</v>
      </c>
      <c r="N98">
        <v>9.9999997764825821E-3</v>
      </c>
      <c r="O98" s="22">
        <v>46254.773499710653</v>
      </c>
      <c r="P98" t="s">
        <v>29</v>
      </c>
      <c r="Q98" t="s">
        <v>30</v>
      </c>
    </row>
    <row r="99" spans="1:17" x14ac:dyDescent="0.3">
      <c r="A99" t="s">
        <v>21</v>
      </c>
      <c r="B99" t="s">
        <v>56</v>
      </c>
      <c r="C99" t="s">
        <v>23</v>
      </c>
      <c r="D99">
        <v>0.05</v>
      </c>
      <c r="E99" t="s">
        <v>24</v>
      </c>
      <c r="F99" t="s">
        <v>25</v>
      </c>
      <c r="G99" t="s">
        <v>26</v>
      </c>
      <c r="H99" t="s">
        <v>27</v>
      </c>
      <c r="I99" s="9">
        <v>1612</v>
      </c>
      <c r="J99" t="str">
        <f t="shared" ref="J99:J130" si="3">B99&amp;D99&amp;C99</f>
        <v>Master Model G10 Grizzly XL Relapse_TwoAge_B030.05JAGS_Male_2000</v>
      </c>
      <c r="K99" s="9">
        <v>1366</v>
      </c>
      <c r="L99" s="9">
        <f>ROUND(IF(ISNUMBER(SEARCH("Relapse",J99)),_xlfn.XLOOKUP(J99,'Pivot and Calcs'!A:A,'Pivot and Calcs'!T:T),I99),0)</f>
        <v>1366</v>
      </c>
      <c r="M99">
        <v>0.01</v>
      </c>
      <c r="N99">
        <v>9.9999997764825821E-3</v>
      </c>
      <c r="O99" s="22">
        <v>46254.773702523147</v>
      </c>
      <c r="P99" t="s">
        <v>29</v>
      </c>
      <c r="Q99" t="s">
        <v>30</v>
      </c>
    </row>
    <row r="100" spans="1:17" x14ac:dyDescent="0.3">
      <c r="A100" t="s">
        <v>21</v>
      </c>
      <c r="B100" t="s">
        <v>56</v>
      </c>
      <c r="C100" t="s">
        <v>23</v>
      </c>
      <c r="D100">
        <v>0.1</v>
      </c>
      <c r="E100" t="s">
        <v>24</v>
      </c>
      <c r="F100" t="s">
        <v>25</v>
      </c>
      <c r="G100" t="s">
        <v>26</v>
      </c>
      <c r="H100" t="s">
        <v>27</v>
      </c>
      <c r="I100" s="9">
        <v>1377</v>
      </c>
      <c r="J100" t="str">
        <f t="shared" si="3"/>
        <v>Master Model G10 Grizzly XL Relapse_TwoAge_B030.1JAGS_Male_2000</v>
      </c>
      <c r="K100" s="9">
        <v>1129</v>
      </c>
      <c r="L100" s="9">
        <f>ROUND(IF(ISNUMBER(SEARCH("Relapse",J100)),_xlfn.XLOOKUP(J100,'Pivot and Calcs'!A:A,'Pivot and Calcs'!T:T),I100),0)</f>
        <v>1129</v>
      </c>
      <c r="M100">
        <v>0.01</v>
      </c>
      <c r="N100">
        <v>9.9999997764825821E-3</v>
      </c>
      <c r="O100" s="22">
        <v>46254.773728692133</v>
      </c>
      <c r="P100" t="s">
        <v>29</v>
      </c>
      <c r="Q100" t="s">
        <v>30</v>
      </c>
    </row>
    <row r="101" spans="1:17" x14ac:dyDescent="0.3">
      <c r="A101" t="s">
        <v>21</v>
      </c>
      <c r="B101" t="s">
        <v>56</v>
      </c>
      <c r="C101" t="s">
        <v>32</v>
      </c>
      <c r="D101">
        <v>0.05</v>
      </c>
      <c r="E101" t="s">
        <v>24</v>
      </c>
      <c r="F101" t="s">
        <v>25</v>
      </c>
      <c r="G101" t="s">
        <v>26</v>
      </c>
      <c r="H101" t="s">
        <v>27</v>
      </c>
      <c r="I101" s="9">
        <v>1297</v>
      </c>
      <c r="J101" t="str">
        <f t="shared" si="3"/>
        <v>Master Model G10 Grizzly XL Relapse_TwoAge_B030.05JAGS_Female_2000</v>
      </c>
      <c r="K101" s="9">
        <v>1100</v>
      </c>
      <c r="L101" s="9">
        <f>ROUND(IF(ISNUMBER(SEARCH("Relapse",J101)),_xlfn.XLOOKUP(J101,'Pivot and Calcs'!A:A,'Pivot and Calcs'!T:T),I101),0)</f>
        <v>1100</v>
      </c>
      <c r="M101">
        <v>0.01</v>
      </c>
      <c r="N101">
        <v>9.9999997764825821E-3</v>
      </c>
      <c r="O101" s="22">
        <v>46254.773759756943</v>
      </c>
      <c r="P101" t="s">
        <v>29</v>
      </c>
      <c r="Q101" t="s">
        <v>30</v>
      </c>
    </row>
    <row r="102" spans="1:17" x14ac:dyDescent="0.3">
      <c r="A102" t="s">
        <v>21</v>
      </c>
      <c r="B102" t="s">
        <v>56</v>
      </c>
      <c r="C102" t="s">
        <v>32</v>
      </c>
      <c r="D102">
        <v>0.1</v>
      </c>
      <c r="E102" t="s">
        <v>24</v>
      </c>
      <c r="F102" t="s">
        <v>25</v>
      </c>
      <c r="G102" t="s">
        <v>26</v>
      </c>
      <c r="H102" t="s">
        <v>27</v>
      </c>
      <c r="I102" s="9">
        <v>1111</v>
      </c>
      <c r="J102" t="str">
        <f t="shared" si="3"/>
        <v>Master Model G10 Grizzly XL Relapse_TwoAge_B030.1JAGS_Female_2000</v>
      </c>
      <c r="K102" s="9">
        <v>914</v>
      </c>
      <c r="L102" s="9">
        <f>ROUND(IF(ISNUMBER(SEARCH("Relapse",J102)),_xlfn.XLOOKUP(J102,'Pivot and Calcs'!A:A,'Pivot and Calcs'!T:T),I102),0)</f>
        <v>914</v>
      </c>
      <c r="M102">
        <v>0.01</v>
      </c>
      <c r="N102">
        <v>9.9999997764825821E-3</v>
      </c>
      <c r="O102" s="22">
        <v>46254.773776805552</v>
      </c>
      <c r="P102" t="s">
        <v>29</v>
      </c>
      <c r="Q102" t="s">
        <v>30</v>
      </c>
    </row>
    <row r="103" spans="1:17" x14ac:dyDescent="0.3">
      <c r="A103" t="s">
        <v>21</v>
      </c>
      <c r="B103" t="s">
        <v>57</v>
      </c>
      <c r="C103" t="s">
        <v>23</v>
      </c>
      <c r="D103">
        <v>0.05</v>
      </c>
      <c r="E103" t="s">
        <v>24</v>
      </c>
      <c r="F103" t="s">
        <v>25</v>
      </c>
      <c r="G103" t="s">
        <v>26</v>
      </c>
      <c r="H103" t="s">
        <v>27</v>
      </c>
      <c r="I103" s="9">
        <v>1070</v>
      </c>
      <c r="J103" t="str">
        <f t="shared" si="3"/>
        <v>Master Model G10 Grizzly XL Relapse_TwoAge_B040.05JAGS_Male_2000</v>
      </c>
      <c r="K103" s="9">
        <v>858</v>
      </c>
      <c r="L103" s="9">
        <f>ROUND(IF(ISNUMBER(SEARCH("Relapse",J103)),_xlfn.XLOOKUP(J103,'Pivot and Calcs'!A:A,'Pivot and Calcs'!T:T),I103),0)</f>
        <v>858</v>
      </c>
      <c r="M103">
        <v>0.01</v>
      </c>
      <c r="N103">
        <v>9.9999997764825821E-3</v>
      </c>
      <c r="O103" s="22">
        <v>46254.773995821757</v>
      </c>
      <c r="P103" t="s">
        <v>29</v>
      </c>
      <c r="Q103" t="s">
        <v>30</v>
      </c>
    </row>
    <row r="104" spans="1:17" x14ac:dyDescent="0.3">
      <c r="A104" t="s">
        <v>21</v>
      </c>
      <c r="B104" t="s">
        <v>57</v>
      </c>
      <c r="C104" t="s">
        <v>23</v>
      </c>
      <c r="D104">
        <v>0.1</v>
      </c>
      <c r="E104" t="s">
        <v>24</v>
      </c>
      <c r="F104" t="s">
        <v>25</v>
      </c>
      <c r="G104" t="s">
        <v>26</v>
      </c>
      <c r="H104" t="s">
        <v>27</v>
      </c>
      <c r="I104" s="9">
        <v>979</v>
      </c>
      <c r="J104" t="str">
        <f t="shared" si="3"/>
        <v>Master Model G10 Grizzly XL Relapse_TwoAge_B040.1JAGS_Male_2000</v>
      </c>
      <c r="K104" s="9">
        <v>768</v>
      </c>
      <c r="L104" s="9">
        <f>ROUND(IF(ISNUMBER(SEARCH("Relapse",J104)),_xlfn.XLOOKUP(J104,'Pivot and Calcs'!A:A,'Pivot and Calcs'!T:T),I104),0)</f>
        <v>768</v>
      </c>
      <c r="M104">
        <v>0.01</v>
      </c>
      <c r="N104">
        <v>9.9999997764825821E-3</v>
      </c>
      <c r="O104" s="22">
        <v>46254.77399652778</v>
      </c>
      <c r="P104" t="s">
        <v>29</v>
      </c>
      <c r="Q104" t="s">
        <v>30</v>
      </c>
    </row>
    <row r="105" spans="1:17" x14ac:dyDescent="0.3">
      <c r="A105" t="s">
        <v>21</v>
      </c>
      <c r="B105" t="s">
        <v>57</v>
      </c>
      <c r="C105" t="s">
        <v>32</v>
      </c>
      <c r="D105">
        <v>0.05</v>
      </c>
      <c r="E105" t="s">
        <v>24</v>
      </c>
      <c r="F105" t="s">
        <v>25</v>
      </c>
      <c r="G105" t="s">
        <v>26</v>
      </c>
      <c r="H105" t="s">
        <v>27</v>
      </c>
      <c r="I105" s="9">
        <v>867</v>
      </c>
      <c r="J105" t="str">
        <f t="shared" si="3"/>
        <v>Master Model G10 Grizzly XL Relapse_TwoAge_B040.05JAGS_Female_2000</v>
      </c>
      <c r="K105" s="9">
        <v>696</v>
      </c>
      <c r="L105" s="9">
        <f>ROUND(IF(ISNUMBER(SEARCH("Relapse",J105)),_xlfn.XLOOKUP(J105,'Pivot and Calcs'!A:A,'Pivot and Calcs'!T:T),I105),0)</f>
        <v>696</v>
      </c>
      <c r="M105">
        <v>0.01</v>
      </c>
      <c r="N105">
        <v>9.9999997764825821E-3</v>
      </c>
      <c r="O105" s="22">
        <v>46254.773996990742</v>
      </c>
      <c r="P105" t="s">
        <v>29</v>
      </c>
      <c r="Q105" t="s">
        <v>30</v>
      </c>
    </row>
    <row r="106" spans="1:17" x14ac:dyDescent="0.3">
      <c r="A106" t="s">
        <v>21</v>
      </c>
      <c r="B106" t="s">
        <v>57</v>
      </c>
      <c r="C106" t="s">
        <v>32</v>
      </c>
      <c r="D106">
        <v>0.1</v>
      </c>
      <c r="E106" t="s">
        <v>24</v>
      </c>
      <c r="F106" t="s">
        <v>25</v>
      </c>
      <c r="G106" t="s">
        <v>26</v>
      </c>
      <c r="H106" t="s">
        <v>27</v>
      </c>
      <c r="I106" s="9">
        <v>796</v>
      </c>
      <c r="J106" t="str">
        <f t="shared" si="3"/>
        <v>Master Model G10 Grizzly XL Relapse_TwoAge_B040.1JAGS_Female_2000</v>
      </c>
      <c r="K106" s="9">
        <v>625</v>
      </c>
      <c r="L106" s="9">
        <f>ROUND(IF(ISNUMBER(SEARCH("Relapse",J106)),_xlfn.XLOOKUP(J106,'Pivot and Calcs'!A:A,'Pivot and Calcs'!T:T),I106),0)</f>
        <v>625</v>
      </c>
      <c r="M106">
        <v>0.01</v>
      </c>
      <c r="N106">
        <v>9.9999997764825821E-3</v>
      </c>
      <c r="O106" s="22">
        <v>46254.7739975</v>
      </c>
      <c r="P106" t="s">
        <v>29</v>
      </c>
      <c r="Q106" t="s">
        <v>30</v>
      </c>
    </row>
    <row r="107" spans="1:17" x14ac:dyDescent="0.3">
      <c r="A107" t="s">
        <v>21</v>
      </c>
      <c r="B107" t="s">
        <v>58</v>
      </c>
      <c r="C107" t="s">
        <v>23</v>
      </c>
      <c r="D107">
        <v>0.05</v>
      </c>
      <c r="E107" t="s">
        <v>24</v>
      </c>
      <c r="F107" t="s">
        <v>25</v>
      </c>
      <c r="G107" t="s">
        <v>26</v>
      </c>
      <c r="H107" t="s">
        <v>27</v>
      </c>
      <c r="I107" s="9">
        <v>729</v>
      </c>
      <c r="J107" t="str">
        <f t="shared" si="3"/>
        <v>Master Model G10 Grizzly XL Relapse_TwoAge_B050.05JAGS_Male_2000</v>
      </c>
      <c r="K107" s="9">
        <v>594</v>
      </c>
      <c r="L107" s="9">
        <f>ROUND(IF(ISNUMBER(SEARCH("Relapse",J107)),_xlfn.XLOOKUP(J107,'Pivot and Calcs'!A:A,'Pivot and Calcs'!T:T),I107),0)</f>
        <v>594</v>
      </c>
      <c r="M107">
        <v>0.01</v>
      </c>
      <c r="N107">
        <v>9.9999997764825821E-3</v>
      </c>
      <c r="O107" s="22">
        <v>46254.774145439813</v>
      </c>
      <c r="P107" t="s">
        <v>29</v>
      </c>
      <c r="Q107" t="s">
        <v>30</v>
      </c>
    </row>
    <row r="108" spans="1:17" x14ac:dyDescent="0.3">
      <c r="A108" t="s">
        <v>21</v>
      </c>
      <c r="B108" t="s">
        <v>58</v>
      </c>
      <c r="C108" t="s">
        <v>23</v>
      </c>
      <c r="D108">
        <v>0.1</v>
      </c>
      <c r="E108" t="s">
        <v>24</v>
      </c>
      <c r="F108" t="s">
        <v>25</v>
      </c>
      <c r="G108" t="s">
        <v>26</v>
      </c>
      <c r="H108" t="s">
        <v>27</v>
      </c>
      <c r="I108" s="9">
        <v>671</v>
      </c>
      <c r="J108" t="str">
        <f t="shared" si="3"/>
        <v>Master Model G10 Grizzly XL Relapse_TwoAge_B050.1JAGS_Male_2000</v>
      </c>
      <c r="K108" s="9">
        <v>536</v>
      </c>
      <c r="L108" s="9">
        <f>ROUND(IF(ISNUMBER(SEARCH("Relapse",J108)),_xlfn.XLOOKUP(J108,'Pivot and Calcs'!A:A,'Pivot and Calcs'!T:T),I108),0)</f>
        <v>536</v>
      </c>
      <c r="M108">
        <v>0.01</v>
      </c>
      <c r="N108">
        <v>9.9999997764825821E-3</v>
      </c>
      <c r="O108" s="22">
        <v>46254.774150358797</v>
      </c>
      <c r="P108" t="s">
        <v>29</v>
      </c>
      <c r="Q108" t="s">
        <v>30</v>
      </c>
    </row>
    <row r="109" spans="1:17" x14ac:dyDescent="0.3">
      <c r="A109" t="s">
        <v>21</v>
      </c>
      <c r="B109" t="s">
        <v>58</v>
      </c>
      <c r="C109" t="s">
        <v>32</v>
      </c>
      <c r="D109">
        <v>0.05</v>
      </c>
      <c r="E109" t="s">
        <v>24</v>
      </c>
      <c r="F109" t="s">
        <v>25</v>
      </c>
      <c r="G109" t="s">
        <v>26</v>
      </c>
      <c r="H109" t="s">
        <v>27</v>
      </c>
      <c r="I109" s="9">
        <v>606</v>
      </c>
      <c r="J109" t="str">
        <f t="shared" si="3"/>
        <v>Master Model G10 Grizzly XL Relapse_TwoAge_B050.05JAGS_Female_2000</v>
      </c>
      <c r="K109" s="9">
        <v>495</v>
      </c>
      <c r="L109" s="9">
        <f>ROUND(IF(ISNUMBER(SEARCH("Relapse",J109)),_xlfn.XLOOKUP(J109,'Pivot and Calcs'!A:A,'Pivot and Calcs'!T:T),I109),0)</f>
        <v>495</v>
      </c>
      <c r="M109">
        <v>0.01</v>
      </c>
      <c r="N109">
        <v>9.9999997764825821E-3</v>
      </c>
      <c r="O109" s="22">
        <v>46254.774158854168</v>
      </c>
      <c r="P109" t="s">
        <v>29</v>
      </c>
      <c r="Q109" t="s">
        <v>30</v>
      </c>
    </row>
    <row r="110" spans="1:17" x14ac:dyDescent="0.3">
      <c r="A110" t="s">
        <v>21</v>
      </c>
      <c r="B110" t="s">
        <v>58</v>
      </c>
      <c r="C110" t="s">
        <v>32</v>
      </c>
      <c r="D110">
        <v>0.1</v>
      </c>
      <c r="E110" t="s">
        <v>24</v>
      </c>
      <c r="F110" t="s">
        <v>25</v>
      </c>
      <c r="G110" t="s">
        <v>26</v>
      </c>
      <c r="H110" t="s">
        <v>27</v>
      </c>
      <c r="I110" s="9">
        <v>559</v>
      </c>
      <c r="J110" t="str">
        <f t="shared" si="3"/>
        <v>Master Model G10 Grizzly XL Relapse_TwoAge_B050.1JAGS_Female_2000</v>
      </c>
      <c r="K110" s="9">
        <v>447</v>
      </c>
      <c r="L110" s="9">
        <f>ROUND(IF(ISNUMBER(SEARCH("Relapse",J110)),_xlfn.XLOOKUP(J110,'Pivot and Calcs'!A:A,'Pivot and Calcs'!T:T),I110),0)</f>
        <v>447</v>
      </c>
      <c r="M110">
        <v>0.01</v>
      </c>
      <c r="N110">
        <v>9.9999997764825821E-3</v>
      </c>
      <c r="O110" s="22">
        <v>46254.77416025463</v>
      </c>
      <c r="P110" t="s">
        <v>29</v>
      </c>
      <c r="Q110" t="s">
        <v>30</v>
      </c>
    </row>
    <row r="111" spans="1:17" x14ac:dyDescent="0.3">
      <c r="A111" t="s">
        <v>21</v>
      </c>
      <c r="B111" t="s">
        <v>59</v>
      </c>
      <c r="C111" t="s">
        <v>23</v>
      </c>
      <c r="D111">
        <v>0.05</v>
      </c>
      <c r="E111" t="s">
        <v>24</v>
      </c>
      <c r="F111" t="s">
        <v>25</v>
      </c>
      <c r="G111" t="s">
        <v>26</v>
      </c>
      <c r="H111" t="s">
        <v>27</v>
      </c>
      <c r="I111" s="9">
        <v>492</v>
      </c>
      <c r="J111" t="str">
        <f t="shared" si="3"/>
        <v>Master Model G10 Grizzly XL Relapse_TwoAge_B060.05JAGS_Male_2000</v>
      </c>
      <c r="K111" s="9">
        <v>391</v>
      </c>
      <c r="L111" s="9">
        <f>ROUND(IF(ISNUMBER(SEARCH("Relapse",J111)),_xlfn.XLOOKUP(J111,'Pivot and Calcs'!A:A,'Pivot and Calcs'!T:T),I111),0)</f>
        <v>391</v>
      </c>
      <c r="M111">
        <v>0.01</v>
      </c>
      <c r="N111">
        <v>9.9999997764825821E-3</v>
      </c>
      <c r="O111" s="22">
        <v>46254.774630370368</v>
      </c>
      <c r="P111" t="s">
        <v>29</v>
      </c>
      <c r="Q111" t="s">
        <v>30</v>
      </c>
    </row>
    <row r="112" spans="1:17" x14ac:dyDescent="0.3">
      <c r="A112" t="s">
        <v>21</v>
      </c>
      <c r="B112" t="s">
        <v>59</v>
      </c>
      <c r="C112" t="s">
        <v>23</v>
      </c>
      <c r="D112">
        <v>0.1</v>
      </c>
      <c r="E112" t="s">
        <v>24</v>
      </c>
      <c r="F112" t="s">
        <v>25</v>
      </c>
      <c r="G112" t="s">
        <v>26</v>
      </c>
      <c r="H112" t="s">
        <v>27</v>
      </c>
      <c r="I112" s="9">
        <v>454</v>
      </c>
      <c r="J112" t="str">
        <f t="shared" si="3"/>
        <v>Master Model G10 Grizzly XL Relapse_TwoAge_B060.1JAGS_Male_2000</v>
      </c>
      <c r="K112" s="9">
        <v>353</v>
      </c>
      <c r="L112" s="9">
        <f>ROUND(IF(ISNUMBER(SEARCH("Relapse",J112)),_xlfn.XLOOKUP(J112,'Pivot and Calcs'!A:A,'Pivot and Calcs'!T:T),I112),0)</f>
        <v>353</v>
      </c>
      <c r="M112">
        <v>0.01</v>
      </c>
      <c r="N112">
        <v>9.9999997764825821E-3</v>
      </c>
      <c r="O112" s="22">
        <v>46254.774630868058</v>
      </c>
      <c r="P112" t="s">
        <v>29</v>
      </c>
      <c r="Q112" t="s">
        <v>30</v>
      </c>
    </row>
    <row r="113" spans="1:17" x14ac:dyDescent="0.3">
      <c r="A113" t="s">
        <v>21</v>
      </c>
      <c r="B113" t="s">
        <v>59</v>
      </c>
      <c r="C113" t="s">
        <v>32</v>
      </c>
      <c r="D113">
        <v>0.05</v>
      </c>
      <c r="E113" t="s">
        <v>24</v>
      </c>
      <c r="F113" t="s">
        <v>25</v>
      </c>
      <c r="G113" t="s">
        <v>26</v>
      </c>
      <c r="H113" t="s">
        <v>27</v>
      </c>
      <c r="I113" s="9">
        <v>420</v>
      </c>
      <c r="J113" t="str">
        <f t="shared" si="3"/>
        <v>Master Model G10 Grizzly XL Relapse_TwoAge_B060.05JAGS_Female_2000</v>
      </c>
      <c r="K113" s="9">
        <v>334</v>
      </c>
      <c r="L113" s="9">
        <f>ROUND(IF(ISNUMBER(SEARCH("Relapse",J113)),_xlfn.XLOOKUP(J113,'Pivot and Calcs'!A:A,'Pivot and Calcs'!T:T),I113),0)</f>
        <v>334</v>
      </c>
      <c r="M113">
        <v>0.01</v>
      </c>
      <c r="N113">
        <v>9.9999997764825821E-3</v>
      </c>
      <c r="O113" s="22">
        <v>46254.774631342603</v>
      </c>
      <c r="P113" t="s">
        <v>29</v>
      </c>
      <c r="Q113" t="s">
        <v>30</v>
      </c>
    </row>
    <row r="114" spans="1:17" x14ac:dyDescent="0.3">
      <c r="A114" t="s">
        <v>21</v>
      </c>
      <c r="B114" t="s">
        <v>59</v>
      </c>
      <c r="C114" t="s">
        <v>32</v>
      </c>
      <c r="D114">
        <v>0.1</v>
      </c>
      <c r="E114" t="s">
        <v>24</v>
      </c>
      <c r="F114" t="s">
        <v>25</v>
      </c>
      <c r="G114" t="s">
        <v>26</v>
      </c>
      <c r="H114" t="s">
        <v>27</v>
      </c>
      <c r="I114" s="9">
        <v>388</v>
      </c>
      <c r="J114" t="str">
        <f t="shared" si="3"/>
        <v>Master Model G10 Grizzly XL Relapse_TwoAge_B060.1JAGS_Female_2000</v>
      </c>
      <c r="K114" s="9">
        <v>301</v>
      </c>
      <c r="L114" s="9">
        <f>ROUND(IF(ISNUMBER(SEARCH("Relapse",J114)),_xlfn.XLOOKUP(J114,'Pivot and Calcs'!A:A,'Pivot and Calcs'!T:T),I114),0)</f>
        <v>301</v>
      </c>
      <c r="M114">
        <v>0.01</v>
      </c>
      <c r="N114">
        <v>9.9999997764825821E-3</v>
      </c>
      <c r="O114" s="22">
        <v>46254.774631863424</v>
      </c>
      <c r="P114" t="s">
        <v>29</v>
      </c>
      <c r="Q114" t="s">
        <v>30</v>
      </c>
    </row>
    <row r="115" spans="1:17" x14ac:dyDescent="0.3">
      <c r="A115" t="s">
        <v>21</v>
      </c>
      <c r="B115" t="s">
        <v>60</v>
      </c>
      <c r="C115" t="s">
        <v>23</v>
      </c>
      <c r="D115">
        <v>0.05</v>
      </c>
      <c r="E115" t="s">
        <v>24</v>
      </c>
      <c r="F115" t="s">
        <v>25</v>
      </c>
      <c r="G115" t="s">
        <v>26</v>
      </c>
      <c r="H115" t="s">
        <v>27</v>
      </c>
      <c r="I115" s="9">
        <v>245</v>
      </c>
      <c r="J115" t="str">
        <f t="shared" si="3"/>
        <v>Master Model G10 Grizzly XL Relapse_TwoAge_B070.05JAGS_Male_2000</v>
      </c>
      <c r="K115" s="9">
        <v>195</v>
      </c>
      <c r="L115" s="9">
        <f>ROUND(IF(ISNUMBER(SEARCH("Relapse",J115)),_xlfn.XLOOKUP(J115,'Pivot and Calcs'!A:A,'Pivot and Calcs'!T:T),I115),0)</f>
        <v>195</v>
      </c>
      <c r="M115">
        <v>0.01</v>
      </c>
      <c r="N115">
        <v>9.9999997764825821E-3</v>
      </c>
      <c r="O115" s="22">
        <v>46254.774811030089</v>
      </c>
      <c r="P115" t="s">
        <v>29</v>
      </c>
      <c r="Q115" t="s">
        <v>30</v>
      </c>
    </row>
    <row r="116" spans="1:17" x14ac:dyDescent="0.3">
      <c r="A116" t="s">
        <v>21</v>
      </c>
      <c r="B116" t="s">
        <v>60</v>
      </c>
      <c r="C116" t="s">
        <v>23</v>
      </c>
      <c r="D116">
        <v>0.1</v>
      </c>
      <c r="E116" t="s">
        <v>24</v>
      </c>
      <c r="F116" t="s">
        <v>25</v>
      </c>
      <c r="G116" t="s">
        <v>26</v>
      </c>
      <c r="H116" t="s">
        <v>27</v>
      </c>
      <c r="I116" s="9">
        <v>227</v>
      </c>
      <c r="J116" t="str">
        <f t="shared" si="3"/>
        <v>Master Model G10 Grizzly XL Relapse_TwoAge_B070.1JAGS_Male_2000</v>
      </c>
      <c r="K116" s="9">
        <v>176</v>
      </c>
      <c r="L116" s="9">
        <f>ROUND(IF(ISNUMBER(SEARCH("Relapse",J116)),_xlfn.XLOOKUP(J116,'Pivot and Calcs'!A:A,'Pivot and Calcs'!T:T),I116),0)</f>
        <v>176</v>
      </c>
      <c r="M116">
        <v>0.01</v>
      </c>
      <c r="N116">
        <v>9.9999997764825821E-3</v>
      </c>
      <c r="O116" s="22">
        <v>46254.774829895832</v>
      </c>
      <c r="P116" t="s">
        <v>29</v>
      </c>
      <c r="Q116" t="s">
        <v>30</v>
      </c>
    </row>
    <row r="117" spans="1:17" x14ac:dyDescent="0.3">
      <c r="A117" t="s">
        <v>21</v>
      </c>
      <c r="B117" t="s">
        <v>60</v>
      </c>
      <c r="C117" t="s">
        <v>32</v>
      </c>
      <c r="D117">
        <v>0.05</v>
      </c>
      <c r="E117" t="s">
        <v>24</v>
      </c>
      <c r="F117" t="s">
        <v>25</v>
      </c>
      <c r="G117" t="s">
        <v>26</v>
      </c>
      <c r="H117" t="s">
        <v>27</v>
      </c>
      <c r="I117" s="9">
        <v>214</v>
      </c>
      <c r="J117" t="str">
        <f t="shared" si="3"/>
        <v>Master Model G10 Grizzly XL Relapse_TwoAge_B070.05JAGS_Female_2000</v>
      </c>
      <c r="K117" s="9">
        <v>170</v>
      </c>
      <c r="L117" s="9">
        <f>ROUND(IF(ISNUMBER(SEARCH("Relapse",J117)),_xlfn.XLOOKUP(J117,'Pivot and Calcs'!A:A,'Pivot and Calcs'!T:T),I117),0)</f>
        <v>170</v>
      </c>
      <c r="M117">
        <v>0.01</v>
      </c>
      <c r="N117">
        <v>9.9999997764825821E-3</v>
      </c>
      <c r="O117" s="22">
        <v>46254.774839050922</v>
      </c>
      <c r="P117" t="s">
        <v>29</v>
      </c>
      <c r="Q117" t="s">
        <v>30</v>
      </c>
    </row>
    <row r="118" spans="1:17" x14ac:dyDescent="0.3">
      <c r="A118" t="s">
        <v>21</v>
      </c>
      <c r="B118" t="s">
        <v>60</v>
      </c>
      <c r="C118" t="s">
        <v>32</v>
      </c>
      <c r="D118">
        <v>0.1</v>
      </c>
      <c r="E118" t="s">
        <v>24</v>
      </c>
      <c r="F118" t="s">
        <v>25</v>
      </c>
      <c r="G118" t="s">
        <v>26</v>
      </c>
      <c r="H118" t="s">
        <v>27</v>
      </c>
      <c r="I118" s="9">
        <v>199</v>
      </c>
      <c r="J118" t="str">
        <f t="shared" si="3"/>
        <v>Master Model G10 Grizzly XL Relapse_TwoAge_B070.1JAGS_Female_2000</v>
      </c>
      <c r="K118" s="9">
        <v>155</v>
      </c>
      <c r="L118" s="9">
        <f>ROUND(IF(ISNUMBER(SEARCH("Relapse",J118)),_xlfn.XLOOKUP(J118,'Pivot and Calcs'!A:A,'Pivot and Calcs'!T:T),I118),0)</f>
        <v>155</v>
      </c>
      <c r="M118">
        <v>0.01</v>
      </c>
      <c r="N118">
        <v>9.9999997764825821E-3</v>
      </c>
      <c r="O118" s="22">
        <v>46254.774849907408</v>
      </c>
      <c r="P118" t="s">
        <v>29</v>
      </c>
      <c r="Q118" t="s">
        <v>30</v>
      </c>
    </row>
    <row r="119" spans="1:17" x14ac:dyDescent="0.3">
      <c r="A119" t="s">
        <v>21</v>
      </c>
      <c r="B119" t="s">
        <v>61</v>
      </c>
      <c r="C119" t="s">
        <v>23</v>
      </c>
      <c r="D119">
        <v>0.05</v>
      </c>
      <c r="E119" t="s">
        <v>24</v>
      </c>
      <c r="F119" t="s">
        <v>25</v>
      </c>
      <c r="G119" t="s">
        <v>26</v>
      </c>
      <c r="H119" t="s">
        <v>27</v>
      </c>
      <c r="I119" s="9">
        <v>81</v>
      </c>
      <c r="J119" t="str">
        <f t="shared" si="3"/>
        <v>Master Model G10 Grizzly XL Relapse_TwoAge_B080.05JAGS_Male_2000</v>
      </c>
      <c r="K119" s="9">
        <v>68</v>
      </c>
      <c r="L119" s="9">
        <f>ROUND(IF(ISNUMBER(SEARCH("Relapse",J119)),_xlfn.XLOOKUP(J119,'Pivot and Calcs'!A:A,'Pivot and Calcs'!T:T),I119),0)</f>
        <v>68</v>
      </c>
      <c r="M119">
        <v>0.01</v>
      </c>
      <c r="N119">
        <v>9.9999997764825821E-3</v>
      </c>
      <c r="O119" s="22">
        <v>46254.775016458327</v>
      </c>
      <c r="P119" t="s">
        <v>29</v>
      </c>
      <c r="Q119" t="s">
        <v>30</v>
      </c>
    </row>
    <row r="120" spans="1:17" x14ac:dyDescent="0.3">
      <c r="A120" t="s">
        <v>21</v>
      </c>
      <c r="B120" t="s">
        <v>61</v>
      </c>
      <c r="C120" t="s">
        <v>23</v>
      </c>
      <c r="D120">
        <v>0.1</v>
      </c>
      <c r="E120" t="s">
        <v>24</v>
      </c>
      <c r="F120" t="s">
        <v>25</v>
      </c>
      <c r="G120" t="s">
        <v>26</v>
      </c>
      <c r="H120" t="s">
        <v>27</v>
      </c>
      <c r="I120" s="9">
        <v>75</v>
      </c>
      <c r="J120" t="str">
        <f t="shared" si="3"/>
        <v>Master Model G10 Grizzly XL Relapse_TwoAge_B080.1JAGS_Male_2000</v>
      </c>
      <c r="K120" s="9">
        <v>62</v>
      </c>
      <c r="L120" s="9">
        <f>ROUND(IF(ISNUMBER(SEARCH("Relapse",J120)),_xlfn.XLOOKUP(J120,'Pivot and Calcs'!A:A,'Pivot and Calcs'!T:T),I120),0)</f>
        <v>62</v>
      </c>
      <c r="M120">
        <v>0.01</v>
      </c>
      <c r="N120">
        <v>9.9999997764825821E-3</v>
      </c>
      <c r="O120" s="22">
        <v>46254.775023125003</v>
      </c>
      <c r="P120" t="s">
        <v>29</v>
      </c>
      <c r="Q120" t="s">
        <v>30</v>
      </c>
    </row>
    <row r="121" spans="1:17" x14ac:dyDescent="0.3">
      <c r="A121" t="s">
        <v>21</v>
      </c>
      <c r="B121" t="s">
        <v>61</v>
      </c>
      <c r="C121" t="s">
        <v>32</v>
      </c>
      <c r="D121">
        <v>0.05</v>
      </c>
      <c r="E121" t="s">
        <v>24</v>
      </c>
      <c r="F121" t="s">
        <v>25</v>
      </c>
      <c r="G121" t="s">
        <v>26</v>
      </c>
      <c r="H121" t="s">
        <v>27</v>
      </c>
      <c r="I121" s="9">
        <v>73</v>
      </c>
      <c r="J121" t="str">
        <f t="shared" si="3"/>
        <v>Master Model G10 Grizzly XL Relapse_TwoAge_B080.05JAGS_Female_2000</v>
      </c>
      <c r="K121" s="9">
        <v>61</v>
      </c>
      <c r="L121" s="9">
        <f>ROUND(IF(ISNUMBER(SEARCH("Relapse",J121)),_xlfn.XLOOKUP(J121,'Pivot and Calcs'!A:A,'Pivot and Calcs'!T:T),I121),0)</f>
        <v>61</v>
      </c>
      <c r="M121">
        <v>0.01</v>
      </c>
      <c r="N121">
        <v>9.9999997764825821E-3</v>
      </c>
      <c r="O121" s="22">
        <v>46254.775028090276</v>
      </c>
      <c r="P121" t="s">
        <v>29</v>
      </c>
      <c r="Q121" t="s">
        <v>30</v>
      </c>
    </row>
    <row r="122" spans="1:17" x14ac:dyDescent="0.3">
      <c r="A122" t="s">
        <v>21</v>
      </c>
      <c r="B122" t="s">
        <v>61</v>
      </c>
      <c r="C122" t="s">
        <v>32</v>
      </c>
      <c r="D122">
        <v>0.1</v>
      </c>
      <c r="E122" t="s">
        <v>24</v>
      </c>
      <c r="F122" t="s">
        <v>25</v>
      </c>
      <c r="G122" t="s">
        <v>26</v>
      </c>
      <c r="H122" t="s">
        <v>27</v>
      </c>
      <c r="I122" s="9">
        <v>68</v>
      </c>
      <c r="J122" t="str">
        <f t="shared" si="3"/>
        <v>Master Model G10 Grizzly XL Relapse_TwoAge_B080.1JAGS_Female_2000</v>
      </c>
      <c r="K122" s="9">
        <v>56</v>
      </c>
      <c r="L122" s="9">
        <f>ROUND(IF(ISNUMBER(SEARCH("Relapse",J122)),_xlfn.XLOOKUP(J122,'Pivot and Calcs'!A:A,'Pivot and Calcs'!T:T),I122),0)</f>
        <v>56</v>
      </c>
      <c r="M122">
        <v>0.01</v>
      </c>
      <c r="N122">
        <v>9.9999997764825821E-3</v>
      </c>
      <c r="O122" s="22">
        <v>46254.775028865741</v>
      </c>
      <c r="P122" t="s">
        <v>29</v>
      </c>
      <c r="Q122" t="s">
        <v>30</v>
      </c>
    </row>
    <row r="123" spans="1:17" x14ac:dyDescent="0.3">
      <c r="A123" t="s">
        <v>21</v>
      </c>
      <c r="B123" t="s">
        <v>62</v>
      </c>
      <c r="C123" t="s">
        <v>23</v>
      </c>
      <c r="D123">
        <v>0.05</v>
      </c>
      <c r="E123" t="s">
        <v>24</v>
      </c>
      <c r="F123" t="s">
        <v>25</v>
      </c>
      <c r="G123" t="s">
        <v>26</v>
      </c>
      <c r="H123" t="s">
        <v>27</v>
      </c>
      <c r="I123" s="9">
        <v>23</v>
      </c>
      <c r="J123" t="str">
        <f t="shared" si="3"/>
        <v>Master Model G10 Grizzly XL Relapse_TwoAge_B090.05JAGS_Male_2000</v>
      </c>
      <c r="K123" s="9">
        <v>15</v>
      </c>
      <c r="L123" s="9">
        <f>ROUND(IF(ISNUMBER(SEARCH("Relapse",J123)),_xlfn.XLOOKUP(J123,'Pivot and Calcs'!A:A,'Pivot and Calcs'!T:T),I123),0)</f>
        <v>15</v>
      </c>
      <c r="M123">
        <v>0.01</v>
      </c>
      <c r="N123">
        <v>9.9999997764825821E-3</v>
      </c>
      <c r="O123" s="22">
        <v>46254.77519803241</v>
      </c>
      <c r="P123" t="s">
        <v>29</v>
      </c>
      <c r="Q123" t="s">
        <v>30</v>
      </c>
    </row>
    <row r="124" spans="1:17" x14ac:dyDescent="0.3">
      <c r="A124" t="s">
        <v>21</v>
      </c>
      <c r="B124" t="s">
        <v>62</v>
      </c>
      <c r="C124" t="s">
        <v>23</v>
      </c>
      <c r="D124">
        <v>0.1</v>
      </c>
      <c r="E124" t="s">
        <v>24</v>
      </c>
      <c r="F124" t="s">
        <v>25</v>
      </c>
      <c r="G124" t="s">
        <v>26</v>
      </c>
      <c r="H124" t="s">
        <v>27</v>
      </c>
      <c r="I124" s="9">
        <v>21</v>
      </c>
      <c r="J124" t="str">
        <f t="shared" si="3"/>
        <v>Master Model G10 Grizzly XL Relapse_TwoAge_B090.1JAGS_Male_2000</v>
      </c>
      <c r="K124" s="9">
        <v>13</v>
      </c>
      <c r="L124" s="9">
        <f>ROUND(IF(ISNUMBER(SEARCH("Relapse",J124)),_xlfn.XLOOKUP(J124,'Pivot and Calcs'!A:A,'Pivot and Calcs'!T:T),I124),0)</f>
        <v>13</v>
      </c>
      <c r="M124">
        <v>0.01</v>
      </c>
      <c r="N124">
        <v>9.9999997764825821E-3</v>
      </c>
      <c r="O124" s="22">
        <v>46254.775199502314</v>
      </c>
      <c r="P124" t="s">
        <v>29</v>
      </c>
      <c r="Q124" t="s">
        <v>30</v>
      </c>
    </row>
    <row r="125" spans="1:17" x14ac:dyDescent="0.3">
      <c r="A125" t="s">
        <v>21</v>
      </c>
      <c r="B125" t="s">
        <v>62</v>
      </c>
      <c r="C125" t="s">
        <v>32</v>
      </c>
      <c r="D125">
        <v>0.05</v>
      </c>
      <c r="E125" t="s">
        <v>24</v>
      </c>
      <c r="F125" t="s">
        <v>25</v>
      </c>
      <c r="G125" t="s">
        <v>26</v>
      </c>
      <c r="H125" t="s">
        <v>27</v>
      </c>
      <c r="I125" s="9">
        <v>21</v>
      </c>
      <c r="J125" t="str">
        <f t="shared" si="3"/>
        <v>Master Model G10 Grizzly XL Relapse_TwoAge_B090.05JAGS_Female_2000</v>
      </c>
      <c r="K125" s="9">
        <v>15</v>
      </c>
      <c r="L125" s="9">
        <f>ROUND(IF(ISNUMBER(SEARCH("Relapse",J125)),_xlfn.XLOOKUP(J125,'Pivot and Calcs'!A:A,'Pivot and Calcs'!T:T),I125),0)</f>
        <v>15</v>
      </c>
      <c r="M125">
        <v>0.01</v>
      </c>
      <c r="N125">
        <v>9.9999997764825821E-3</v>
      </c>
      <c r="O125" s="22">
        <v>46254.775201157398</v>
      </c>
      <c r="P125" t="s">
        <v>29</v>
      </c>
      <c r="Q125" t="s">
        <v>30</v>
      </c>
    </row>
    <row r="126" spans="1:17" x14ac:dyDescent="0.3">
      <c r="A126" t="s">
        <v>21</v>
      </c>
      <c r="B126" t="s">
        <v>62</v>
      </c>
      <c r="C126" t="s">
        <v>32</v>
      </c>
      <c r="D126">
        <v>0.1</v>
      </c>
      <c r="E126" t="s">
        <v>24</v>
      </c>
      <c r="F126" t="s">
        <v>25</v>
      </c>
      <c r="G126" t="s">
        <v>26</v>
      </c>
      <c r="H126" t="s">
        <v>27</v>
      </c>
      <c r="I126" s="9">
        <v>20</v>
      </c>
      <c r="J126" t="str">
        <f t="shared" si="3"/>
        <v>Master Model G10 Grizzly XL Relapse_TwoAge_B090.1JAGS_Female_2000</v>
      </c>
      <c r="K126" s="9">
        <v>13</v>
      </c>
      <c r="L126" s="9">
        <f>ROUND(IF(ISNUMBER(SEARCH("Relapse",J126)),_xlfn.XLOOKUP(J126,'Pivot and Calcs'!A:A,'Pivot and Calcs'!T:T),I126),0)</f>
        <v>13</v>
      </c>
      <c r="M126">
        <v>0.01</v>
      </c>
      <c r="N126">
        <v>9.9999997764825821E-3</v>
      </c>
      <c r="O126" s="22">
        <v>46254.775202743047</v>
      </c>
      <c r="P126" t="s">
        <v>29</v>
      </c>
      <c r="Q126" t="s">
        <v>30</v>
      </c>
    </row>
    <row r="127" spans="1:17" x14ac:dyDescent="0.3">
      <c r="A127" t="s">
        <v>21</v>
      </c>
      <c r="B127" t="s">
        <v>63</v>
      </c>
      <c r="C127" t="s">
        <v>23</v>
      </c>
      <c r="D127">
        <v>0.05</v>
      </c>
      <c r="E127" t="s">
        <v>24</v>
      </c>
      <c r="F127" t="s">
        <v>25</v>
      </c>
      <c r="G127" t="s">
        <v>26</v>
      </c>
      <c r="H127" t="s">
        <v>27</v>
      </c>
      <c r="I127" s="9">
        <v>9</v>
      </c>
      <c r="J127" t="str">
        <f t="shared" si="3"/>
        <v>Master Model G10 Grizzly XL Relapse_TwoAge_B100.05JAGS_Male_2000</v>
      </c>
      <c r="K127" s="9">
        <v>6</v>
      </c>
      <c r="L127" s="9">
        <f>ROUND(IF(ISNUMBER(SEARCH("Relapse",J127)),_xlfn.XLOOKUP(J127,'Pivot and Calcs'!A:A,'Pivot and Calcs'!T:T),I127),0)</f>
        <v>6</v>
      </c>
      <c r="M127">
        <v>0.01</v>
      </c>
      <c r="N127">
        <v>9.9999997764825821E-3</v>
      </c>
      <c r="O127" s="22">
        <v>46254.775506851853</v>
      </c>
      <c r="P127" t="s">
        <v>29</v>
      </c>
      <c r="Q127" t="s">
        <v>30</v>
      </c>
    </row>
    <row r="128" spans="1:17" x14ac:dyDescent="0.3">
      <c r="A128" t="s">
        <v>21</v>
      </c>
      <c r="B128" t="s">
        <v>63</v>
      </c>
      <c r="C128" t="s">
        <v>23</v>
      </c>
      <c r="D128">
        <v>0.1</v>
      </c>
      <c r="E128" t="s">
        <v>24</v>
      </c>
      <c r="F128" t="s">
        <v>25</v>
      </c>
      <c r="G128" t="s">
        <v>26</v>
      </c>
      <c r="H128" t="s">
        <v>27</v>
      </c>
      <c r="I128" s="9">
        <v>8</v>
      </c>
      <c r="J128" t="str">
        <f t="shared" si="3"/>
        <v>Master Model G10 Grizzly XL Relapse_TwoAge_B100.1JAGS_Male_2000</v>
      </c>
      <c r="K128" s="9">
        <v>5</v>
      </c>
      <c r="L128" s="9">
        <f>ROUND(IF(ISNUMBER(SEARCH("Relapse",J128)),_xlfn.XLOOKUP(J128,'Pivot and Calcs'!A:A,'Pivot and Calcs'!T:T),I128),0)</f>
        <v>5</v>
      </c>
      <c r="M128">
        <v>0.01</v>
      </c>
      <c r="N128">
        <v>9.9999997764825821E-3</v>
      </c>
      <c r="O128" s="22">
        <v>46254.775507280086</v>
      </c>
      <c r="P128" t="s">
        <v>29</v>
      </c>
      <c r="Q128" t="s">
        <v>30</v>
      </c>
    </row>
    <row r="129" spans="1:17" x14ac:dyDescent="0.3">
      <c r="A129" t="s">
        <v>21</v>
      </c>
      <c r="B129" t="s">
        <v>63</v>
      </c>
      <c r="C129" t="s">
        <v>32</v>
      </c>
      <c r="D129">
        <v>0.05</v>
      </c>
      <c r="E129" t="s">
        <v>24</v>
      </c>
      <c r="F129" t="s">
        <v>25</v>
      </c>
      <c r="G129" t="s">
        <v>26</v>
      </c>
      <c r="H129" t="s">
        <v>27</v>
      </c>
      <c r="I129" s="9">
        <v>8</v>
      </c>
      <c r="J129" t="str">
        <f t="shared" si="3"/>
        <v>Master Model G10 Grizzly XL Relapse_TwoAge_B100.05JAGS_Female_2000</v>
      </c>
      <c r="K129" s="9">
        <v>5</v>
      </c>
      <c r="L129" s="9">
        <f>ROUND(IF(ISNUMBER(SEARCH("Relapse",J129)),_xlfn.XLOOKUP(J129,'Pivot and Calcs'!A:A,'Pivot and Calcs'!T:T),I129),0)</f>
        <v>5</v>
      </c>
      <c r="M129">
        <v>0.01</v>
      </c>
      <c r="N129">
        <v>9.9999997764825821E-3</v>
      </c>
      <c r="O129" s="22">
        <v>46254.775507708327</v>
      </c>
      <c r="P129" t="s">
        <v>29</v>
      </c>
      <c r="Q129" t="s">
        <v>30</v>
      </c>
    </row>
    <row r="130" spans="1:17" x14ac:dyDescent="0.3">
      <c r="A130" t="s">
        <v>21</v>
      </c>
      <c r="B130" t="s">
        <v>63</v>
      </c>
      <c r="C130" t="s">
        <v>32</v>
      </c>
      <c r="D130">
        <v>0.1</v>
      </c>
      <c r="E130" t="s">
        <v>24</v>
      </c>
      <c r="F130" t="s">
        <v>25</v>
      </c>
      <c r="G130" t="s">
        <v>26</v>
      </c>
      <c r="H130" t="s">
        <v>27</v>
      </c>
      <c r="I130" s="9">
        <v>8</v>
      </c>
      <c r="J130" t="str">
        <f t="shared" si="3"/>
        <v>Master Model G10 Grizzly XL Relapse_TwoAge_B100.1JAGS_Female_2000</v>
      </c>
      <c r="K130" s="9">
        <v>4</v>
      </c>
      <c r="L130" s="9">
        <f>ROUND(IF(ISNUMBER(SEARCH("Relapse",J130)),_xlfn.XLOOKUP(J130,'Pivot and Calcs'!A:A,'Pivot and Calcs'!T:T),I130),0)</f>
        <v>4</v>
      </c>
      <c r="M130">
        <v>0.01</v>
      </c>
      <c r="N130">
        <v>9.9999997764825821E-3</v>
      </c>
      <c r="O130" s="22">
        <v>46254.775508379629</v>
      </c>
      <c r="P130" t="s">
        <v>29</v>
      </c>
      <c r="Q130" t="s">
        <v>30</v>
      </c>
    </row>
    <row r="131" spans="1:17" x14ac:dyDescent="0.3">
      <c r="A131" t="s">
        <v>21</v>
      </c>
      <c r="B131" t="s">
        <v>64</v>
      </c>
      <c r="C131" t="s">
        <v>23</v>
      </c>
      <c r="D131">
        <v>0.05</v>
      </c>
      <c r="E131" t="s">
        <v>24</v>
      </c>
      <c r="F131" t="s">
        <v>25</v>
      </c>
      <c r="G131" t="s">
        <v>26</v>
      </c>
      <c r="H131" t="s">
        <v>27</v>
      </c>
      <c r="I131" s="9">
        <v>2</v>
      </c>
      <c r="J131" t="str">
        <f t="shared" ref="J131:J162" si="4">B131&amp;D131&amp;C131</f>
        <v>Master Model G10 Grizzly XL Relapse_TwoAge_B110.05JAGS_Male_2000</v>
      </c>
      <c r="K131" s="9">
        <v>1</v>
      </c>
      <c r="L131" s="9">
        <f>ROUND(IF(ISNUMBER(SEARCH("Relapse",J131)),_xlfn.XLOOKUP(J131,'Pivot and Calcs'!A:A,'Pivot and Calcs'!T:T),I131),0)</f>
        <v>1</v>
      </c>
      <c r="M131">
        <v>0.01</v>
      </c>
      <c r="N131">
        <v>9.9999997764825821E-3</v>
      </c>
      <c r="O131" s="22">
        <v>46254.775728136578</v>
      </c>
      <c r="P131" t="s">
        <v>29</v>
      </c>
      <c r="Q131" t="s">
        <v>30</v>
      </c>
    </row>
    <row r="132" spans="1:17" x14ac:dyDescent="0.3">
      <c r="A132" t="s">
        <v>21</v>
      </c>
      <c r="B132" t="s">
        <v>64</v>
      </c>
      <c r="C132" t="s">
        <v>23</v>
      </c>
      <c r="D132">
        <v>0.1</v>
      </c>
      <c r="E132" t="s">
        <v>24</v>
      </c>
      <c r="F132" t="s">
        <v>25</v>
      </c>
      <c r="G132" t="s">
        <v>26</v>
      </c>
      <c r="H132" t="s">
        <v>27</v>
      </c>
      <c r="I132" s="9">
        <v>2</v>
      </c>
      <c r="J132" t="str">
        <f t="shared" si="4"/>
        <v>Master Model G10 Grizzly XL Relapse_TwoAge_B110.1JAGS_Male_2000</v>
      </c>
      <c r="K132" s="9">
        <v>1</v>
      </c>
      <c r="L132" s="9">
        <f>ROUND(IF(ISNUMBER(SEARCH("Relapse",J132)),_xlfn.XLOOKUP(J132,'Pivot and Calcs'!A:A,'Pivot and Calcs'!T:T),I132),0)</f>
        <v>1</v>
      </c>
      <c r="M132">
        <v>0.01</v>
      </c>
      <c r="N132">
        <v>9.9999997764825821E-3</v>
      </c>
      <c r="O132" s="22">
        <v>46254.775747361113</v>
      </c>
      <c r="P132" t="s">
        <v>29</v>
      </c>
      <c r="Q132" t="s">
        <v>30</v>
      </c>
    </row>
    <row r="133" spans="1:17" x14ac:dyDescent="0.3">
      <c r="A133" t="s">
        <v>21</v>
      </c>
      <c r="B133" t="s">
        <v>64</v>
      </c>
      <c r="C133" t="s">
        <v>32</v>
      </c>
      <c r="D133">
        <v>0.05</v>
      </c>
      <c r="E133" t="s">
        <v>24</v>
      </c>
      <c r="F133" t="s">
        <v>25</v>
      </c>
      <c r="G133" t="s">
        <v>26</v>
      </c>
      <c r="H133" t="s">
        <v>27</v>
      </c>
      <c r="I133" s="9">
        <v>2</v>
      </c>
      <c r="J133" t="str">
        <f t="shared" si="4"/>
        <v>Master Model G10 Grizzly XL Relapse_TwoAge_B110.05JAGS_Female_2000</v>
      </c>
      <c r="K133" s="9">
        <v>2</v>
      </c>
      <c r="L133" s="9">
        <f>ROUND(IF(ISNUMBER(SEARCH("Relapse",J133)),_xlfn.XLOOKUP(J133,'Pivot and Calcs'!A:A,'Pivot and Calcs'!T:T),I133),0)</f>
        <v>2</v>
      </c>
      <c r="M133">
        <v>0.01</v>
      </c>
      <c r="N133">
        <v>9.9999997764825821E-3</v>
      </c>
      <c r="O133" s="22">
        <v>46254.775775532413</v>
      </c>
      <c r="P133" t="s">
        <v>29</v>
      </c>
      <c r="Q133" t="s">
        <v>30</v>
      </c>
    </row>
    <row r="134" spans="1:17" x14ac:dyDescent="0.3">
      <c r="A134" t="s">
        <v>21</v>
      </c>
      <c r="B134" t="s">
        <v>64</v>
      </c>
      <c r="C134" t="s">
        <v>32</v>
      </c>
      <c r="D134">
        <v>0.1</v>
      </c>
      <c r="E134" t="s">
        <v>24</v>
      </c>
      <c r="F134" t="s">
        <v>25</v>
      </c>
      <c r="G134" t="s">
        <v>26</v>
      </c>
      <c r="H134" t="s">
        <v>27</v>
      </c>
      <c r="I134" s="9">
        <v>2</v>
      </c>
      <c r="J134" t="str">
        <f t="shared" si="4"/>
        <v>Master Model G10 Grizzly XL Relapse_TwoAge_B110.1JAGS_Female_2000</v>
      </c>
      <c r="K134" s="9">
        <v>2</v>
      </c>
      <c r="L134" s="9">
        <f>ROUND(IF(ISNUMBER(SEARCH("Relapse",J134)),_xlfn.XLOOKUP(J134,'Pivot and Calcs'!A:A,'Pivot and Calcs'!T:T),I134),0)</f>
        <v>2</v>
      </c>
      <c r="M134">
        <v>0.01</v>
      </c>
      <c r="N134">
        <v>9.9999997764825821E-3</v>
      </c>
      <c r="O134" s="22">
        <v>46254.775789131942</v>
      </c>
      <c r="P134" t="s">
        <v>29</v>
      </c>
      <c r="Q134" t="s">
        <v>30</v>
      </c>
    </row>
    <row r="135" spans="1:17" x14ac:dyDescent="0.3">
      <c r="A135" t="s">
        <v>21</v>
      </c>
      <c r="B135" t="s">
        <v>65</v>
      </c>
      <c r="C135" t="s">
        <v>23</v>
      </c>
      <c r="D135">
        <v>0.05</v>
      </c>
      <c r="E135" t="s">
        <v>24</v>
      </c>
      <c r="F135" t="s">
        <v>25</v>
      </c>
      <c r="G135" t="s">
        <v>26</v>
      </c>
      <c r="H135" t="s">
        <v>27</v>
      </c>
      <c r="I135" s="9">
        <v>2300</v>
      </c>
      <c r="J135" t="str">
        <f t="shared" si="4"/>
        <v>Master Model G25 Grizzly XL Relapse_TwoAge_B010.05JAGS_Male_2000</v>
      </c>
      <c r="K135" s="9">
        <v>2053</v>
      </c>
      <c r="L135" s="9">
        <f>ROUND(IF(ISNUMBER(SEARCH("Relapse",J135)),_xlfn.XLOOKUP(J135,'Pivot and Calcs'!A:A,'Pivot and Calcs'!T:T),I135),0)</f>
        <v>2053</v>
      </c>
      <c r="M135">
        <v>0.01</v>
      </c>
      <c r="N135">
        <v>9.9999997764825821E-3</v>
      </c>
      <c r="O135" s="22">
        <v>46254.78318943287</v>
      </c>
      <c r="P135" t="s">
        <v>29</v>
      </c>
      <c r="Q135" t="s">
        <v>30</v>
      </c>
    </row>
    <row r="136" spans="1:17" x14ac:dyDescent="0.3">
      <c r="A136" t="s">
        <v>21</v>
      </c>
      <c r="B136" t="s">
        <v>65</v>
      </c>
      <c r="C136" t="s">
        <v>23</v>
      </c>
      <c r="D136">
        <v>0.1</v>
      </c>
      <c r="E136" t="s">
        <v>24</v>
      </c>
      <c r="F136" t="s">
        <v>25</v>
      </c>
      <c r="G136" t="s">
        <v>26</v>
      </c>
      <c r="H136" t="s">
        <v>27</v>
      </c>
      <c r="I136" s="9">
        <v>1753</v>
      </c>
      <c r="J136" t="str">
        <f t="shared" si="4"/>
        <v>Master Model G25 Grizzly XL Relapse_TwoAge_B010.1JAGS_Male_2000</v>
      </c>
      <c r="K136" s="9">
        <v>1505</v>
      </c>
      <c r="L136" s="9">
        <f>ROUND(IF(ISNUMBER(SEARCH("Relapse",J136)),_xlfn.XLOOKUP(J136,'Pivot and Calcs'!A:A,'Pivot and Calcs'!T:T),I136),0)</f>
        <v>1505</v>
      </c>
      <c r="M136">
        <v>0.01</v>
      </c>
      <c r="N136">
        <v>9.9999997764825821E-3</v>
      </c>
      <c r="O136" s="22">
        <v>46254.783189884263</v>
      </c>
      <c r="P136" t="s">
        <v>29</v>
      </c>
      <c r="Q136" t="s">
        <v>30</v>
      </c>
    </row>
    <row r="137" spans="1:17" x14ac:dyDescent="0.3">
      <c r="A137" t="s">
        <v>21</v>
      </c>
      <c r="B137" t="s">
        <v>65</v>
      </c>
      <c r="C137" t="s">
        <v>32</v>
      </c>
      <c r="D137">
        <v>0.05</v>
      </c>
      <c r="E137" t="s">
        <v>24</v>
      </c>
      <c r="F137" t="s">
        <v>25</v>
      </c>
      <c r="G137" t="s">
        <v>26</v>
      </c>
      <c r="H137" t="s">
        <v>27</v>
      </c>
      <c r="I137" s="9">
        <v>1948</v>
      </c>
      <c r="J137" t="str">
        <f t="shared" si="4"/>
        <v>Master Model G25 Grizzly XL Relapse_TwoAge_B010.05JAGS_Female_2000</v>
      </c>
      <c r="K137" s="9">
        <v>1751</v>
      </c>
      <c r="L137" s="9">
        <f>ROUND(IF(ISNUMBER(SEARCH("Relapse",J137)),_xlfn.XLOOKUP(J137,'Pivot and Calcs'!A:A,'Pivot and Calcs'!T:T),I137),0)</f>
        <v>1751</v>
      </c>
      <c r="M137">
        <v>0.01</v>
      </c>
      <c r="N137">
        <v>9.9999997764825821E-3</v>
      </c>
      <c r="O137" s="22">
        <v>46254.783190312497</v>
      </c>
      <c r="P137" t="s">
        <v>29</v>
      </c>
      <c r="Q137" t="s">
        <v>30</v>
      </c>
    </row>
    <row r="138" spans="1:17" x14ac:dyDescent="0.3">
      <c r="A138" t="s">
        <v>21</v>
      </c>
      <c r="B138" t="s">
        <v>65</v>
      </c>
      <c r="C138" t="s">
        <v>32</v>
      </c>
      <c r="D138">
        <v>0.1</v>
      </c>
      <c r="E138" t="s">
        <v>24</v>
      </c>
      <c r="F138" t="s">
        <v>25</v>
      </c>
      <c r="G138" t="s">
        <v>26</v>
      </c>
      <c r="H138" t="s">
        <v>27</v>
      </c>
      <c r="I138" s="9">
        <v>1505</v>
      </c>
      <c r="J138" t="str">
        <f t="shared" si="4"/>
        <v>Master Model G25 Grizzly XL Relapse_TwoAge_B010.1JAGS_Female_2000</v>
      </c>
      <c r="K138" s="9">
        <v>1310</v>
      </c>
      <c r="L138" s="9">
        <f>ROUND(IF(ISNUMBER(SEARCH("Relapse",J138)),_xlfn.XLOOKUP(J138,'Pivot and Calcs'!A:A,'Pivot and Calcs'!T:T),I138),0)</f>
        <v>1310</v>
      </c>
      <c r="M138">
        <v>0.01</v>
      </c>
      <c r="N138">
        <v>9.9999997764825821E-3</v>
      </c>
      <c r="O138" s="22">
        <v>46254.783190775473</v>
      </c>
      <c r="P138" t="s">
        <v>29</v>
      </c>
      <c r="Q138" t="s">
        <v>30</v>
      </c>
    </row>
    <row r="139" spans="1:17" x14ac:dyDescent="0.3">
      <c r="A139" t="s">
        <v>21</v>
      </c>
      <c r="B139" t="s">
        <v>66</v>
      </c>
      <c r="C139" t="s">
        <v>23</v>
      </c>
      <c r="D139">
        <v>0.05</v>
      </c>
      <c r="E139" t="s">
        <v>24</v>
      </c>
      <c r="F139" t="s">
        <v>25</v>
      </c>
      <c r="G139" t="s">
        <v>26</v>
      </c>
      <c r="H139" t="s">
        <v>27</v>
      </c>
      <c r="I139" s="9">
        <v>2120</v>
      </c>
      <c r="J139" t="str">
        <f t="shared" si="4"/>
        <v>Master Model G25 Grizzly XL Relapse_TwoAge_B020.05JAGS_Male_2000</v>
      </c>
      <c r="K139" s="9">
        <v>1873</v>
      </c>
      <c r="L139" s="9">
        <f>ROUND(IF(ISNUMBER(SEARCH("Relapse",J139)),_xlfn.XLOOKUP(J139,'Pivot and Calcs'!A:A,'Pivot and Calcs'!T:T),I139),0)</f>
        <v>1873</v>
      </c>
      <c r="M139">
        <v>0.01</v>
      </c>
      <c r="N139">
        <v>9.9999997764825821E-3</v>
      </c>
      <c r="O139" s="22">
        <v>46254.785199664351</v>
      </c>
      <c r="P139" t="s">
        <v>29</v>
      </c>
      <c r="Q139" t="s">
        <v>30</v>
      </c>
    </row>
    <row r="140" spans="1:17" x14ac:dyDescent="0.3">
      <c r="A140" t="s">
        <v>21</v>
      </c>
      <c r="B140" t="s">
        <v>66</v>
      </c>
      <c r="C140" t="s">
        <v>23</v>
      </c>
      <c r="D140">
        <v>0.1</v>
      </c>
      <c r="E140" t="s">
        <v>24</v>
      </c>
      <c r="F140" t="s">
        <v>25</v>
      </c>
      <c r="G140" t="s">
        <v>26</v>
      </c>
      <c r="H140" t="s">
        <v>27</v>
      </c>
      <c r="I140" s="9">
        <v>1698</v>
      </c>
      <c r="J140" t="str">
        <f t="shared" si="4"/>
        <v>Master Model G25 Grizzly XL Relapse_TwoAge_B020.1JAGS_Male_2000</v>
      </c>
      <c r="K140" s="9">
        <v>1451</v>
      </c>
      <c r="L140" s="9">
        <f>ROUND(IF(ISNUMBER(SEARCH("Relapse",J140)),_xlfn.XLOOKUP(J140,'Pivot and Calcs'!A:A,'Pivot and Calcs'!T:T),I140),0)</f>
        <v>1451</v>
      </c>
      <c r="M140">
        <v>0.01</v>
      </c>
      <c r="N140">
        <v>9.9999997764825821E-3</v>
      </c>
      <c r="O140" s="22">
        <v>46254.785200115737</v>
      </c>
      <c r="P140" t="s">
        <v>29</v>
      </c>
      <c r="Q140" t="s">
        <v>30</v>
      </c>
    </row>
    <row r="141" spans="1:17" x14ac:dyDescent="0.3">
      <c r="A141" t="s">
        <v>21</v>
      </c>
      <c r="B141" t="s">
        <v>66</v>
      </c>
      <c r="C141" t="s">
        <v>32</v>
      </c>
      <c r="D141">
        <v>0.05</v>
      </c>
      <c r="E141" t="s">
        <v>24</v>
      </c>
      <c r="F141" t="s">
        <v>25</v>
      </c>
      <c r="G141" t="s">
        <v>26</v>
      </c>
      <c r="H141" t="s">
        <v>27</v>
      </c>
      <c r="I141" s="9">
        <v>1764</v>
      </c>
      <c r="J141" t="str">
        <f t="shared" si="4"/>
        <v>Master Model G25 Grizzly XL Relapse_TwoAge_B020.05JAGS_Female_2000</v>
      </c>
      <c r="K141" s="9">
        <v>1568</v>
      </c>
      <c r="L141" s="9">
        <f>ROUND(IF(ISNUMBER(SEARCH("Relapse",J141)),_xlfn.XLOOKUP(J141,'Pivot and Calcs'!A:A,'Pivot and Calcs'!T:T),I141),0)</f>
        <v>1568</v>
      </c>
      <c r="M141">
        <v>0.01</v>
      </c>
      <c r="N141">
        <v>9.9999997764825821E-3</v>
      </c>
      <c r="O141" s="22">
        <v>46254.785200543978</v>
      </c>
      <c r="P141" t="s">
        <v>29</v>
      </c>
      <c r="Q141" t="s">
        <v>30</v>
      </c>
    </row>
    <row r="142" spans="1:17" x14ac:dyDescent="0.3">
      <c r="A142" t="s">
        <v>21</v>
      </c>
      <c r="B142" t="s">
        <v>66</v>
      </c>
      <c r="C142" t="s">
        <v>32</v>
      </c>
      <c r="D142">
        <v>0.1</v>
      </c>
      <c r="E142" t="s">
        <v>24</v>
      </c>
      <c r="F142" t="s">
        <v>25</v>
      </c>
      <c r="G142" t="s">
        <v>26</v>
      </c>
      <c r="H142" t="s">
        <v>27</v>
      </c>
      <c r="I142" s="9">
        <v>1425</v>
      </c>
      <c r="J142" t="str">
        <f t="shared" si="4"/>
        <v>Master Model G25 Grizzly XL Relapse_TwoAge_B020.1JAGS_Female_2000</v>
      </c>
      <c r="K142" s="9">
        <v>1229</v>
      </c>
      <c r="L142" s="9">
        <f>ROUND(IF(ISNUMBER(SEARCH("Relapse",J142)),_xlfn.XLOOKUP(J142,'Pivot and Calcs'!A:A,'Pivot and Calcs'!T:T),I142),0)</f>
        <v>1229</v>
      </c>
      <c r="M142">
        <v>0.01</v>
      </c>
      <c r="N142">
        <v>9.9999997764825821E-3</v>
      </c>
      <c r="O142" s="22">
        <v>46254.785200983802</v>
      </c>
      <c r="P142" t="s">
        <v>29</v>
      </c>
      <c r="Q142" t="s">
        <v>30</v>
      </c>
    </row>
    <row r="143" spans="1:17" x14ac:dyDescent="0.3">
      <c r="A143" t="s">
        <v>21</v>
      </c>
      <c r="B143" t="s">
        <v>67</v>
      </c>
      <c r="C143" t="s">
        <v>23</v>
      </c>
      <c r="D143">
        <v>0.05</v>
      </c>
      <c r="E143" t="s">
        <v>24</v>
      </c>
      <c r="F143" t="s">
        <v>25</v>
      </c>
      <c r="G143" t="s">
        <v>26</v>
      </c>
      <c r="H143" t="s">
        <v>27</v>
      </c>
      <c r="I143" s="9">
        <v>1501</v>
      </c>
      <c r="J143" t="str">
        <f t="shared" si="4"/>
        <v>Master Model G25 Grizzly XL Relapse_TwoAge_B030.05JAGS_Male_2000</v>
      </c>
      <c r="K143" s="9">
        <v>1253</v>
      </c>
      <c r="L143" s="9">
        <f>ROUND(IF(ISNUMBER(SEARCH("Relapse",J143)),_xlfn.XLOOKUP(J143,'Pivot and Calcs'!A:A,'Pivot and Calcs'!T:T),I143),0)</f>
        <v>1253</v>
      </c>
      <c r="M143">
        <v>0.01</v>
      </c>
      <c r="N143">
        <v>9.9999997764825821E-3</v>
      </c>
      <c r="O143" s="22">
        <v>46254.786645462962</v>
      </c>
      <c r="P143" t="s">
        <v>29</v>
      </c>
      <c r="Q143" t="s">
        <v>30</v>
      </c>
    </row>
    <row r="144" spans="1:17" x14ac:dyDescent="0.3">
      <c r="A144" t="s">
        <v>21</v>
      </c>
      <c r="B144" t="s">
        <v>67</v>
      </c>
      <c r="C144" t="s">
        <v>23</v>
      </c>
      <c r="D144">
        <v>0.1</v>
      </c>
      <c r="E144" t="s">
        <v>24</v>
      </c>
      <c r="F144" t="s">
        <v>25</v>
      </c>
      <c r="G144" t="s">
        <v>26</v>
      </c>
      <c r="H144" t="s">
        <v>27</v>
      </c>
      <c r="I144" s="9">
        <v>1279</v>
      </c>
      <c r="J144" t="str">
        <f t="shared" si="4"/>
        <v>Master Model G25 Grizzly XL Relapse_TwoAge_B030.1JAGS_Male_2000</v>
      </c>
      <c r="K144" s="9">
        <v>1033</v>
      </c>
      <c r="L144" s="9">
        <f>ROUND(IF(ISNUMBER(SEARCH("Relapse",J144)),_xlfn.XLOOKUP(J144,'Pivot and Calcs'!A:A,'Pivot and Calcs'!T:T),I144),0)</f>
        <v>1033</v>
      </c>
      <c r="M144">
        <v>0.01</v>
      </c>
      <c r="N144">
        <v>9.9999997764825821E-3</v>
      </c>
      <c r="O144" s="22">
        <v>46254.786645925917</v>
      </c>
      <c r="P144" t="s">
        <v>29</v>
      </c>
      <c r="Q144" t="s">
        <v>30</v>
      </c>
    </row>
    <row r="145" spans="1:17" x14ac:dyDescent="0.3">
      <c r="A145" t="s">
        <v>21</v>
      </c>
      <c r="B145" t="s">
        <v>67</v>
      </c>
      <c r="C145" t="s">
        <v>32</v>
      </c>
      <c r="D145">
        <v>0.05</v>
      </c>
      <c r="E145" t="s">
        <v>24</v>
      </c>
      <c r="F145" t="s">
        <v>25</v>
      </c>
      <c r="G145" t="s">
        <v>26</v>
      </c>
      <c r="H145" t="s">
        <v>27</v>
      </c>
      <c r="I145" s="9">
        <v>1199</v>
      </c>
      <c r="J145" t="str">
        <f t="shared" si="4"/>
        <v>Master Model G25 Grizzly XL Relapse_TwoAge_B030.05JAGS_Female_2000</v>
      </c>
      <c r="K145" s="9">
        <v>1002</v>
      </c>
      <c r="L145" s="9">
        <f>ROUND(IF(ISNUMBER(SEARCH("Relapse",J145)),_xlfn.XLOOKUP(J145,'Pivot and Calcs'!A:A,'Pivot and Calcs'!T:T),I145),0)</f>
        <v>1002</v>
      </c>
      <c r="M145">
        <v>0.01</v>
      </c>
      <c r="N145">
        <v>9.9999997764825821E-3</v>
      </c>
      <c r="O145" s="22">
        <v>46254.786646354158</v>
      </c>
      <c r="P145" t="s">
        <v>29</v>
      </c>
      <c r="Q145" t="s">
        <v>30</v>
      </c>
    </row>
    <row r="146" spans="1:17" x14ac:dyDescent="0.3">
      <c r="A146" t="s">
        <v>21</v>
      </c>
      <c r="B146" t="s">
        <v>67</v>
      </c>
      <c r="C146" t="s">
        <v>32</v>
      </c>
      <c r="D146">
        <v>0.1</v>
      </c>
      <c r="E146" t="s">
        <v>24</v>
      </c>
      <c r="F146" t="s">
        <v>25</v>
      </c>
      <c r="G146" t="s">
        <v>26</v>
      </c>
      <c r="H146" t="s">
        <v>27</v>
      </c>
      <c r="I146" s="9">
        <v>1024</v>
      </c>
      <c r="J146" t="str">
        <f t="shared" si="4"/>
        <v>Master Model G25 Grizzly XL Relapse_TwoAge_B030.1JAGS_Female_2000</v>
      </c>
      <c r="K146" s="9">
        <v>829</v>
      </c>
      <c r="L146" s="9">
        <f>ROUND(IF(ISNUMBER(SEARCH("Relapse",J146)),_xlfn.XLOOKUP(J146,'Pivot and Calcs'!A:A,'Pivot and Calcs'!T:T),I146),0)</f>
        <v>829</v>
      </c>
      <c r="M146">
        <v>0.01</v>
      </c>
      <c r="N146">
        <v>9.9999997764825821E-3</v>
      </c>
      <c r="O146" s="22">
        <v>46254.786646875</v>
      </c>
      <c r="P146" t="s">
        <v>29</v>
      </c>
      <c r="Q146" t="s">
        <v>30</v>
      </c>
    </row>
    <row r="147" spans="1:17" x14ac:dyDescent="0.3">
      <c r="A147" t="s">
        <v>21</v>
      </c>
      <c r="B147" t="s">
        <v>68</v>
      </c>
      <c r="C147" t="s">
        <v>23</v>
      </c>
      <c r="D147">
        <v>0.05</v>
      </c>
      <c r="E147" t="s">
        <v>24</v>
      </c>
      <c r="F147" t="s">
        <v>25</v>
      </c>
      <c r="G147" t="s">
        <v>26</v>
      </c>
      <c r="H147" t="s">
        <v>27</v>
      </c>
      <c r="I147" s="9">
        <v>1070</v>
      </c>
      <c r="J147" t="str">
        <f t="shared" si="4"/>
        <v>Master Model G25 Grizzly XL Relapse_TwoAge_B040.05JAGS_Male_2000</v>
      </c>
      <c r="K147" s="9">
        <v>858</v>
      </c>
      <c r="L147" s="9">
        <f>ROUND(IF(ISNUMBER(SEARCH("Relapse",J147)),_xlfn.XLOOKUP(J147,'Pivot and Calcs'!A:A,'Pivot and Calcs'!T:T),I147),0)</f>
        <v>858</v>
      </c>
      <c r="M147">
        <v>0.01</v>
      </c>
      <c r="N147">
        <v>9.9999997764825821E-3</v>
      </c>
      <c r="O147" s="22">
        <v>46254.790558263892</v>
      </c>
      <c r="P147" t="s">
        <v>29</v>
      </c>
      <c r="Q147" t="s">
        <v>30</v>
      </c>
    </row>
    <row r="148" spans="1:17" x14ac:dyDescent="0.3">
      <c r="A148" t="s">
        <v>21</v>
      </c>
      <c r="B148" t="s">
        <v>68</v>
      </c>
      <c r="C148" t="s">
        <v>23</v>
      </c>
      <c r="D148">
        <v>0.1</v>
      </c>
      <c r="E148" t="s">
        <v>24</v>
      </c>
      <c r="F148" t="s">
        <v>25</v>
      </c>
      <c r="G148" t="s">
        <v>26</v>
      </c>
      <c r="H148" t="s">
        <v>27</v>
      </c>
      <c r="I148" s="9">
        <v>979</v>
      </c>
      <c r="J148" t="str">
        <f t="shared" si="4"/>
        <v>Master Model G25 Grizzly XL Relapse_TwoAge_B040.1JAGS_Male_2000</v>
      </c>
      <c r="K148" s="9">
        <v>768</v>
      </c>
      <c r="L148" s="9">
        <f>ROUND(IF(ISNUMBER(SEARCH("Relapse",J148)),_xlfn.XLOOKUP(J148,'Pivot and Calcs'!A:A,'Pivot and Calcs'!T:T),I148),0)</f>
        <v>768</v>
      </c>
      <c r="M148">
        <v>0.01</v>
      </c>
      <c r="N148">
        <v>9.9999997764825821E-3</v>
      </c>
      <c r="O148" s="22">
        <v>46254.790558703702</v>
      </c>
      <c r="P148" t="s">
        <v>29</v>
      </c>
      <c r="Q148" t="s">
        <v>30</v>
      </c>
    </row>
    <row r="149" spans="1:17" x14ac:dyDescent="0.3">
      <c r="A149" t="s">
        <v>21</v>
      </c>
      <c r="B149" t="s">
        <v>68</v>
      </c>
      <c r="C149" t="s">
        <v>32</v>
      </c>
      <c r="D149">
        <v>0.05</v>
      </c>
      <c r="E149" t="s">
        <v>24</v>
      </c>
      <c r="F149" t="s">
        <v>25</v>
      </c>
      <c r="G149" t="s">
        <v>26</v>
      </c>
      <c r="H149" t="s">
        <v>27</v>
      </c>
      <c r="I149" s="9">
        <v>867</v>
      </c>
      <c r="J149" t="str">
        <f t="shared" si="4"/>
        <v>Master Model G25 Grizzly XL Relapse_TwoAge_B040.05JAGS_Female_2000</v>
      </c>
      <c r="K149" s="9">
        <v>696</v>
      </c>
      <c r="L149" s="9">
        <f>ROUND(IF(ISNUMBER(SEARCH("Relapse",J149)),_xlfn.XLOOKUP(J149,'Pivot and Calcs'!A:A,'Pivot and Calcs'!T:T),I149),0)</f>
        <v>696</v>
      </c>
      <c r="M149">
        <v>0.01</v>
      </c>
      <c r="N149">
        <v>9.9999997764825821E-3</v>
      </c>
      <c r="O149" s="22">
        <v>46254.790559155103</v>
      </c>
      <c r="P149" t="s">
        <v>29</v>
      </c>
      <c r="Q149" t="s">
        <v>30</v>
      </c>
    </row>
    <row r="150" spans="1:17" x14ac:dyDescent="0.3">
      <c r="A150" t="s">
        <v>21</v>
      </c>
      <c r="B150" t="s">
        <v>68</v>
      </c>
      <c r="C150" t="s">
        <v>32</v>
      </c>
      <c r="D150">
        <v>0.1</v>
      </c>
      <c r="E150" t="s">
        <v>24</v>
      </c>
      <c r="F150" t="s">
        <v>25</v>
      </c>
      <c r="G150" t="s">
        <v>26</v>
      </c>
      <c r="H150" t="s">
        <v>27</v>
      </c>
      <c r="I150" s="9">
        <v>796</v>
      </c>
      <c r="J150" t="str">
        <f t="shared" si="4"/>
        <v>Master Model G25 Grizzly XL Relapse_TwoAge_B040.1JAGS_Female_2000</v>
      </c>
      <c r="K150" s="9">
        <v>625</v>
      </c>
      <c r="L150" s="9">
        <f>ROUND(IF(ISNUMBER(SEARCH("Relapse",J150)),_xlfn.XLOOKUP(J150,'Pivot and Calcs'!A:A,'Pivot and Calcs'!T:T),I150),0)</f>
        <v>625</v>
      </c>
      <c r="M150">
        <v>0.01</v>
      </c>
      <c r="N150">
        <v>9.9999997764825821E-3</v>
      </c>
      <c r="O150" s="22">
        <v>46254.790559618057</v>
      </c>
      <c r="P150" t="s">
        <v>29</v>
      </c>
      <c r="Q150" t="s">
        <v>30</v>
      </c>
    </row>
    <row r="151" spans="1:17" x14ac:dyDescent="0.3">
      <c r="A151" t="s">
        <v>21</v>
      </c>
      <c r="B151" t="s">
        <v>69</v>
      </c>
      <c r="C151" t="s">
        <v>23</v>
      </c>
      <c r="D151">
        <v>0.05</v>
      </c>
      <c r="E151" t="s">
        <v>24</v>
      </c>
      <c r="F151" t="s">
        <v>25</v>
      </c>
      <c r="G151" t="s">
        <v>26</v>
      </c>
      <c r="H151" t="s">
        <v>27</v>
      </c>
      <c r="I151" s="9">
        <v>729</v>
      </c>
      <c r="J151" t="str">
        <f t="shared" si="4"/>
        <v>Master Model G25 Grizzly XL Relapse_TwoAge_B050.05JAGS_Male_2000</v>
      </c>
      <c r="K151" s="9">
        <v>594</v>
      </c>
      <c r="L151" s="9">
        <f>ROUND(IF(ISNUMBER(SEARCH("Relapse",J151)),_xlfn.XLOOKUP(J151,'Pivot and Calcs'!A:A,'Pivot and Calcs'!T:T),I151),0)</f>
        <v>594</v>
      </c>
      <c r="M151">
        <v>0.01</v>
      </c>
      <c r="N151">
        <v>9.9999997764825821E-3</v>
      </c>
      <c r="O151" s="22">
        <v>46254.791247650457</v>
      </c>
      <c r="P151" t="s">
        <v>29</v>
      </c>
      <c r="Q151" t="s">
        <v>30</v>
      </c>
    </row>
    <row r="152" spans="1:17" x14ac:dyDescent="0.3">
      <c r="A152" t="s">
        <v>21</v>
      </c>
      <c r="B152" t="s">
        <v>69</v>
      </c>
      <c r="C152" t="s">
        <v>23</v>
      </c>
      <c r="D152">
        <v>0.1</v>
      </c>
      <c r="E152" t="s">
        <v>24</v>
      </c>
      <c r="F152" t="s">
        <v>25</v>
      </c>
      <c r="G152" t="s">
        <v>26</v>
      </c>
      <c r="H152" t="s">
        <v>27</v>
      </c>
      <c r="I152" s="9">
        <v>671</v>
      </c>
      <c r="J152" t="str">
        <f t="shared" si="4"/>
        <v>Master Model G25 Grizzly XL Relapse_TwoAge_B050.1JAGS_Male_2000</v>
      </c>
      <c r="K152" s="9">
        <v>536</v>
      </c>
      <c r="L152" s="9">
        <f>ROUND(IF(ISNUMBER(SEARCH("Relapse",J152)),_xlfn.XLOOKUP(J152,'Pivot and Calcs'!A:A,'Pivot and Calcs'!T:T),I152),0)</f>
        <v>536</v>
      </c>
      <c r="M152">
        <v>0.01</v>
      </c>
      <c r="N152">
        <v>9.9999997764825821E-3</v>
      </c>
      <c r="O152" s="22">
        <v>46254.791248159723</v>
      </c>
      <c r="P152" t="s">
        <v>29</v>
      </c>
      <c r="Q152" t="s">
        <v>30</v>
      </c>
    </row>
    <row r="153" spans="1:17" x14ac:dyDescent="0.3">
      <c r="A153" t="s">
        <v>21</v>
      </c>
      <c r="B153" t="s">
        <v>69</v>
      </c>
      <c r="C153" t="s">
        <v>32</v>
      </c>
      <c r="D153">
        <v>0.05</v>
      </c>
      <c r="E153" t="s">
        <v>24</v>
      </c>
      <c r="F153" t="s">
        <v>25</v>
      </c>
      <c r="G153" t="s">
        <v>26</v>
      </c>
      <c r="H153" t="s">
        <v>27</v>
      </c>
      <c r="I153" s="9">
        <v>606</v>
      </c>
      <c r="J153" t="str">
        <f t="shared" si="4"/>
        <v>Master Model G25 Grizzly XL Relapse_TwoAge_B050.05JAGS_Female_2000</v>
      </c>
      <c r="K153" s="9">
        <v>495</v>
      </c>
      <c r="L153" s="9">
        <f>ROUND(IF(ISNUMBER(SEARCH("Relapse",J153)),_xlfn.XLOOKUP(J153,'Pivot and Calcs'!A:A,'Pivot and Calcs'!T:T),I153),0)</f>
        <v>495</v>
      </c>
      <c r="M153">
        <v>0.01</v>
      </c>
      <c r="N153">
        <v>9.9999997764825821E-3</v>
      </c>
      <c r="O153" s="22">
        <v>46254.791248622692</v>
      </c>
      <c r="P153" t="s">
        <v>29</v>
      </c>
      <c r="Q153" t="s">
        <v>30</v>
      </c>
    </row>
    <row r="154" spans="1:17" x14ac:dyDescent="0.3">
      <c r="A154" t="s">
        <v>21</v>
      </c>
      <c r="B154" t="s">
        <v>69</v>
      </c>
      <c r="C154" t="s">
        <v>32</v>
      </c>
      <c r="D154">
        <v>0.1</v>
      </c>
      <c r="E154" t="s">
        <v>24</v>
      </c>
      <c r="F154" t="s">
        <v>25</v>
      </c>
      <c r="G154" t="s">
        <v>26</v>
      </c>
      <c r="H154" t="s">
        <v>27</v>
      </c>
      <c r="I154" s="9">
        <v>559</v>
      </c>
      <c r="J154" t="str">
        <f t="shared" si="4"/>
        <v>Master Model G25 Grizzly XL Relapse_TwoAge_B050.1JAGS_Female_2000</v>
      </c>
      <c r="K154" s="9">
        <v>447</v>
      </c>
      <c r="L154" s="9">
        <f>ROUND(IF(ISNUMBER(SEARCH("Relapse",J154)),_xlfn.XLOOKUP(J154,'Pivot and Calcs'!A:A,'Pivot and Calcs'!T:T),I154),0)</f>
        <v>447</v>
      </c>
      <c r="M154">
        <v>0.01</v>
      </c>
      <c r="N154">
        <v>9.9999997764825821E-3</v>
      </c>
      <c r="O154" s="22">
        <v>46254.791249074071</v>
      </c>
      <c r="P154" t="s">
        <v>29</v>
      </c>
      <c r="Q154" t="s">
        <v>30</v>
      </c>
    </row>
    <row r="155" spans="1:17" x14ac:dyDescent="0.3">
      <c r="A155" t="s">
        <v>21</v>
      </c>
      <c r="B155" t="s">
        <v>70</v>
      </c>
      <c r="C155" t="s">
        <v>23</v>
      </c>
      <c r="D155">
        <v>0.05</v>
      </c>
      <c r="E155" t="s">
        <v>24</v>
      </c>
      <c r="F155" t="s">
        <v>25</v>
      </c>
      <c r="G155" t="s">
        <v>26</v>
      </c>
      <c r="H155" t="s">
        <v>27</v>
      </c>
      <c r="I155" s="9">
        <v>492</v>
      </c>
      <c r="J155" t="str">
        <f t="shared" si="4"/>
        <v>Master Model G25 Grizzly XL Relapse_TwoAge_B060.05JAGS_Male_2000</v>
      </c>
      <c r="K155" s="9">
        <v>391</v>
      </c>
      <c r="L155" s="9">
        <f>ROUND(IF(ISNUMBER(SEARCH("Relapse",J155)),_xlfn.XLOOKUP(J155,'Pivot and Calcs'!A:A,'Pivot and Calcs'!T:T),I155),0)</f>
        <v>391</v>
      </c>
      <c r="M155">
        <v>0.01</v>
      </c>
      <c r="N155">
        <v>9.9999997764825821E-3</v>
      </c>
      <c r="O155" s="22">
        <v>46254.791798634258</v>
      </c>
      <c r="P155" t="s">
        <v>29</v>
      </c>
      <c r="Q155" t="s">
        <v>30</v>
      </c>
    </row>
    <row r="156" spans="1:17" x14ac:dyDescent="0.3">
      <c r="A156" t="s">
        <v>21</v>
      </c>
      <c r="B156" t="s">
        <v>70</v>
      </c>
      <c r="C156" t="s">
        <v>23</v>
      </c>
      <c r="D156">
        <v>0.1</v>
      </c>
      <c r="E156" t="s">
        <v>24</v>
      </c>
      <c r="F156" t="s">
        <v>25</v>
      </c>
      <c r="G156" t="s">
        <v>26</v>
      </c>
      <c r="H156" t="s">
        <v>27</v>
      </c>
      <c r="I156" s="9">
        <v>454</v>
      </c>
      <c r="J156" t="str">
        <f t="shared" si="4"/>
        <v>Master Model G25 Grizzly XL Relapse_TwoAge_B060.1JAGS_Male_2000</v>
      </c>
      <c r="K156" s="9">
        <v>353</v>
      </c>
      <c r="L156" s="9">
        <f>ROUND(IF(ISNUMBER(SEARCH("Relapse",J156)),_xlfn.XLOOKUP(J156,'Pivot and Calcs'!A:A,'Pivot and Calcs'!T:T),I156),0)</f>
        <v>353</v>
      </c>
      <c r="M156">
        <v>0.01</v>
      </c>
      <c r="N156">
        <v>9.9999997764825821E-3</v>
      </c>
      <c r="O156" s="22">
        <v>46254.791799143517</v>
      </c>
      <c r="P156" t="s">
        <v>29</v>
      </c>
      <c r="Q156" t="s">
        <v>30</v>
      </c>
    </row>
    <row r="157" spans="1:17" x14ac:dyDescent="0.3">
      <c r="A157" t="s">
        <v>21</v>
      </c>
      <c r="B157" t="s">
        <v>70</v>
      </c>
      <c r="C157" t="s">
        <v>32</v>
      </c>
      <c r="D157">
        <v>0.05</v>
      </c>
      <c r="E157" t="s">
        <v>24</v>
      </c>
      <c r="F157" t="s">
        <v>25</v>
      </c>
      <c r="G157" t="s">
        <v>26</v>
      </c>
      <c r="H157" t="s">
        <v>27</v>
      </c>
      <c r="I157" s="9">
        <v>420</v>
      </c>
      <c r="J157" t="str">
        <f t="shared" si="4"/>
        <v>Master Model G25 Grizzly XL Relapse_TwoAge_B060.05JAGS_Female_2000</v>
      </c>
      <c r="K157" s="9">
        <v>334</v>
      </c>
      <c r="L157" s="9">
        <f>ROUND(IF(ISNUMBER(SEARCH("Relapse",J157)),_xlfn.XLOOKUP(J157,'Pivot and Calcs'!A:A,'Pivot and Calcs'!T:T),I157),0)</f>
        <v>334</v>
      </c>
      <c r="M157">
        <v>0.01</v>
      </c>
      <c r="N157">
        <v>9.9999997764825821E-3</v>
      </c>
      <c r="O157" s="22">
        <v>46254.791799664352</v>
      </c>
      <c r="P157" t="s">
        <v>29</v>
      </c>
      <c r="Q157" t="s">
        <v>30</v>
      </c>
    </row>
    <row r="158" spans="1:17" x14ac:dyDescent="0.3">
      <c r="A158" t="s">
        <v>21</v>
      </c>
      <c r="B158" t="s">
        <v>70</v>
      </c>
      <c r="C158" t="s">
        <v>32</v>
      </c>
      <c r="D158">
        <v>0.1</v>
      </c>
      <c r="E158" t="s">
        <v>24</v>
      </c>
      <c r="F158" t="s">
        <v>25</v>
      </c>
      <c r="G158" t="s">
        <v>26</v>
      </c>
      <c r="H158" t="s">
        <v>27</v>
      </c>
      <c r="I158" s="9">
        <v>388</v>
      </c>
      <c r="J158" t="str">
        <f t="shared" si="4"/>
        <v>Master Model G25 Grizzly XL Relapse_TwoAge_B060.1JAGS_Female_2000</v>
      </c>
      <c r="K158" s="9">
        <v>301</v>
      </c>
      <c r="L158" s="9">
        <f>ROUND(IF(ISNUMBER(SEARCH("Relapse",J158)),_xlfn.XLOOKUP(J158,'Pivot and Calcs'!A:A,'Pivot and Calcs'!T:T),I158),0)</f>
        <v>301</v>
      </c>
      <c r="M158">
        <v>0.01</v>
      </c>
      <c r="N158">
        <v>9.9999997764825821E-3</v>
      </c>
      <c r="O158" s="22">
        <v>46254.791800115738</v>
      </c>
      <c r="P158" t="s">
        <v>29</v>
      </c>
      <c r="Q158" t="s">
        <v>30</v>
      </c>
    </row>
    <row r="159" spans="1:17" x14ac:dyDescent="0.3">
      <c r="A159" t="s">
        <v>21</v>
      </c>
      <c r="B159" t="s">
        <v>71</v>
      </c>
      <c r="C159" t="s">
        <v>23</v>
      </c>
      <c r="D159">
        <v>0.05</v>
      </c>
      <c r="E159" t="s">
        <v>24</v>
      </c>
      <c r="F159" t="s">
        <v>25</v>
      </c>
      <c r="G159" t="s">
        <v>26</v>
      </c>
      <c r="H159" t="s">
        <v>27</v>
      </c>
      <c r="I159" s="9">
        <v>245</v>
      </c>
      <c r="J159" t="str">
        <f t="shared" si="4"/>
        <v>Master Model G25 Grizzly XL Relapse_TwoAge_B070.05JAGS_Male_2000</v>
      </c>
      <c r="K159" s="9">
        <v>195</v>
      </c>
      <c r="L159" s="9">
        <f>ROUND(IF(ISNUMBER(SEARCH("Relapse",J159)),_xlfn.XLOOKUP(J159,'Pivot and Calcs'!A:A,'Pivot and Calcs'!T:T),I159),0)</f>
        <v>195</v>
      </c>
      <c r="M159">
        <v>0.01</v>
      </c>
      <c r="N159">
        <v>9.9999997764825821E-3</v>
      </c>
      <c r="O159" s="22">
        <v>46254.792055115737</v>
      </c>
      <c r="P159" t="s">
        <v>29</v>
      </c>
      <c r="Q159" t="s">
        <v>30</v>
      </c>
    </row>
    <row r="160" spans="1:17" x14ac:dyDescent="0.3">
      <c r="A160" t="s">
        <v>21</v>
      </c>
      <c r="B160" t="s">
        <v>71</v>
      </c>
      <c r="C160" t="s">
        <v>23</v>
      </c>
      <c r="D160">
        <v>0.1</v>
      </c>
      <c r="E160" t="s">
        <v>24</v>
      </c>
      <c r="F160" t="s">
        <v>25</v>
      </c>
      <c r="G160" t="s">
        <v>26</v>
      </c>
      <c r="H160" t="s">
        <v>27</v>
      </c>
      <c r="I160" s="9">
        <v>227</v>
      </c>
      <c r="J160" t="str">
        <f t="shared" si="4"/>
        <v>Master Model G25 Grizzly XL Relapse_TwoAge_B070.1JAGS_Male_2000</v>
      </c>
      <c r="K160" s="9">
        <v>176</v>
      </c>
      <c r="L160" s="9">
        <f>ROUND(IF(ISNUMBER(SEARCH("Relapse",J160)),_xlfn.XLOOKUP(J160,'Pivot and Calcs'!A:A,'Pivot and Calcs'!T:T),I160),0)</f>
        <v>176</v>
      </c>
      <c r="M160">
        <v>0.01</v>
      </c>
      <c r="N160">
        <v>9.9999997764825821E-3</v>
      </c>
      <c r="O160" s="22">
        <v>46254.792055694437</v>
      </c>
      <c r="P160" t="s">
        <v>29</v>
      </c>
      <c r="Q160" t="s">
        <v>30</v>
      </c>
    </row>
    <row r="161" spans="1:17" x14ac:dyDescent="0.3">
      <c r="A161" t="s">
        <v>21</v>
      </c>
      <c r="B161" t="s">
        <v>71</v>
      </c>
      <c r="C161" t="s">
        <v>32</v>
      </c>
      <c r="D161">
        <v>0.05</v>
      </c>
      <c r="E161" t="s">
        <v>24</v>
      </c>
      <c r="F161" t="s">
        <v>25</v>
      </c>
      <c r="G161" t="s">
        <v>26</v>
      </c>
      <c r="H161" t="s">
        <v>27</v>
      </c>
      <c r="I161" s="9">
        <v>214</v>
      </c>
      <c r="J161" t="str">
        <f t="shared" si="4"/>
        <v>Master Model G25 Grizzly XL Relapse_TwoAge_B070.05JAGS_Female_2000</v>
      </c>
      <c r="K161" s="9">
        <v>170</v>
      </c>
      <c r="L161" s="9">
        <f>ROUND(IF(ISNUMBER(SEARCH("Relapse",J161)),_xlfn.XLOOKUP(J161,'Pivot and Calcs'!A:A,'Pivot and Calcs'!T:T),I161),0)</f>
        <v>170</v>
      </c>
      <c r="M161">
        <v>0.01</v>
      </c>
      <c r="N161">
        <v>9.9999997764825821E-3</v>
      </c>
      <c r="O161" s="22">
        <v>46254.792056226848</v>
      </c>
      <c r="P161" t="s">
        <v>29</v>
      </c>
      <c r="Q161" t="s">
        <v>30</v>
      </c>
    </row>
    <row r="162" spans="1:17" x14ac:dyDescent="0.3">
      <c r="A162" t="s">
        <v>21</v>
      </c>
      <c r="B162" t="s">
        <v>71</v>
      </c>
      <c r="C162" t="s">
        <v>32</v>
      </c>
      <c r="D162">
        <v>0.1</v>
      </c>
      <c r="E162" t="s">
        <v>24</v>
      </c>
      <c r="F162" t="s">
        <v>25</v>
      </c>
      <c r="G162" t="s">
        <v>26</v>
      </c>
      <c r="H162" t="s">
        <v>27</v>
      </c>
      <c r="I162" s="9">
        <v>199</v>
      </c>
      <c r="J162" t="str">
        <f t="shared" si="4"/>
        <v>Master Model G25 Grizzly XL Relapse_TwoAge_B070.1JAGS_Female_2000</v>
      </c>
      <c r="K162" s="9">
        <v>155</v>
      </c>
      <c r="L162" s="9">
        <f>ROUND(IF(ISNUMBER(SEARCH("Relapse",J162)),_xlfn.XLOOKUP(J162,'Pivot and Calcs'!A:A,'Pivot and Calcs'!T:T),I162),0)</f>
        <v>155</v>
      </c>
      <c r="M162">
        <v>0.01</v>
      </c>
      <c r="N162">
        <v>9.9999997764825821E-3</v>
      </c>
      <c r="O162" s="22">
        <v>46254.792057361112</v>
      </c>
      <c r="P162" t="s">
        <v>29</v>
      </c>
      <c r="Q162" t="s">
        <v>30</v>
      </c>
    </row>
    <row r="163" spans="1:17" x14ac:dyDescent="0.3">
      <c r="A163" t="s">
        <v>21</v>
      </c>
      <c r="B163" t="s">
        <v>72</v>
      </c>
      <c r="C163" t="s">
        <v>23</v>
      </c>
      <c r="D163">
        <v>0.05</v>
      </c>
      <c r="E163" t="s">
        <v>24</v>
      </c>
      <c r="F163" t="s">
        <v>25</v>
      </c>
      <c r="G163" t="s">
        <v>26</v>
      </c>
      <c r="H163" t="s">
        <v>27</v>
      </c>
      <c r="I163" s="9">
        <v>81</v>
      </c>
      <c r="J163" t="str">
        <f t="shared" ref="J163:J178" si="5">B163&amp;D163&amp;C163</f>
        <v>Master Model G25 Grizzly XL Relapse_TwoAge_B080.05JAGS_Male_2000</v>
      </c>
      <c r="K163" s="9">
        <v>68</v>
      </c>
      <c r="L163" s="9">
        <f>ROUND(IF(ISNUMBER(SEARCH("Relapse",J163)),_xlfn.XLOOKUP(J163,'Pivot and Calcs'!A:A,'Pivot and Calcs'!T:T),I163),0)</f>
        <v>68</v>
      </c>
      <c r="M163">
        <v>0.01</v>
      </c>
      <c r="N163">
        <v>9.9999997764825821E-3</v>
      </c>
      <c r="O163" s="22">
        <v>46254.79251269676</v>
      </c>
      <c r="P163" t="s">
        <v>29</v>
      </c>
      <c r="Q163" t="s">
        <v>30</v>
      </c>
    </row>
    <row r="164" spans="1:17" x14ac:dyDescent="0.3">
      <c r="A164" t="s">
        <v>21</v>
      </c>
      <c r="B164" t="s">
        <v>72</v>
      </c>
      <c r="C164" t="s">
        <v>23</v>
      </c>
      <c r="D164">
        <v>0.1</v>
      </c>
      <c r="E164" t="s">
        <v>24</v>
      </c>
      <c r="F164" t="s">
        <v>25</v>
      </c>
      <c r="G164" t="s">
        <v>26</v>
      </c>
      <c r="H164" t="s">
        <v>27</v>
      </c>
      <c r="I164" s="9">
        <v>75</v>
      </c>
      <c r="J164" t="str">
        <f t="shared" si="5"/>
        <v>Master Model G25 Grizzly XL Relapse_TwoAge_B080.1JAGS_Male_2000</v>
      </c>
      <c r="K164" s="9">
        <v>62</v>
      </c>
      <c r="L164" s="9">
        <f>ROUND(IF(ISNUMBER(SEARCH("Relapse",J164)),_xlfn.XLOOKUP(J164,'Pivot and Calcs'!A:A,'Pivot and Calcs'!T:T),I164),0)</f>
        <v>62</v>
      </c>
      <c r="M164">
        <v>0.01</v>
      </c>
      <c r="N164">
        <v>9.9999997764825821E-3</v>
      </c>
      <c r="O164" s="22">
        <v>46254.792513252323</v>
      </c>
      <c r="P164" t="s">
        <v>29</v>
      </c>
      <c r="Q164" t="s">
        <v>30</v>
      </c>
    </row>
    <row r="165" spans="1:17" x14ac:dyDescent="0.3">
      <c r="A165" t="s">
        <v>21</v>
      </c>
      <c r="B165" t="s">
        <v>72</v>
      </c>
      <c r="C165" t="s">
        <v>32</v>
      </c>
      <c r="D165">
        <v>0.05</v>
      </c>
      <c r="E165" t="s">
        <v>24</v>
      </c>
      <c r="F165" t="s">
        <v>25</v>
      </c>
      <c r="G165" t="s">
        <v>26</v>
      </c>
      <c r="H165" t="s">
        <v>27</v>
      </c>
      <c r="I165" s="9">
        <v>73</v>
      </c>
      <c r="J165" t="str">
        <f t="shared" si="5"/>
        <v>Master Model G25 Grizzly XL Relapse_TwoAge_B080.05JAGS_Female_2000</v>
      </c>
      <c r="K165" s="9">
        <v>61</v>
      </c>
      <c r="L165" s="9">
        <f>ROUND(IF(ISNUMBER(SEARCH("Relapse",J165)),_xlfn.XLOOKUP(J165,'Pivot and Calcs'!A:A,'Pivot and Calcs'!T:T),I165),0)</f>
        <v>61</v>
      </c>
      <c r="M165">
        <v>0.01</v>
      </c>
      <c r="N165">
        <v>9.9999997764825821E-3</v>
      </c>
      <c r="O165" s="22">
        <v>46254.792513807872</v>
      </c>
      <c r="P165" t="s">
        <v>29</v>
      </c>
      <c r="Q165" t="s">
        <v>30</v>
      </c>
    </row>
    <row r="166" spans="1:17" x14ac:dyDescent="0.3">
      <c r="A166" t="s">
        <v>21</v>
      </c>
      <c r="B166" t="s">
        <v>72</v>
      </c>
      <c r="C166" t="s">
        <v>32</v>
      </c>
      <c r="D166">
        <v>0.1</v>
      </c>
      <c r="E166" t="s">
        <v>24</v>
      </c>
      <c r="F166" t="s">
        <v>25</v>
      </c>
      <c r="G166" t="s">
        <v>26</v>
      </c>
      <c r="H166" t="s">
        <v>27</v>
      </c>
      <c r="I166" s="9">
        <v>68</v>
      </c>
      <c r="J166" t="str">
        <f t="shared" si="5"/>
        <v>Master Model G25 Grizzly XL Relapse_TwoAge_B080.1JAGS_Female_2000</v>
      </c>
      <c r="K166" s="9">
        <v>56</v>
      </c>
      <c r="L166" s="9">
        <f>ROUND(IF(ISNUMBER(SEARCH("Relapse",J166)),_xlfn.XLOOKUP(J166,'Pivot and Calcs'!A:A,'Pivot and Calcs'!T:T),I166),0)</f>
        <v>56</v>
      </c>
      <c r="M166">
        <v>0.01</v>
      </c>
      <c r="N166">
        <v>9.9999997764825821E-3</v>
      </c>
      <c r="O166" s="22">
        <v>46254.792514675923</v>
      </c>
      <c r="P166" t="s">
        <v>29</v>
      </c>
      <c r="Q166" t="s">
        <v>30</v>
      </c>
    </row>
    <row r="167" spans="1:17" x14ac:dyDescent="0.3">
      <c r="A167" t="s">
        <v>21</v>
      </c>
      <c r="B167" t="s">
        <v>73</v>
      </c>
      <c r="C167" t="s">
        <v>23</v>
      </c>
      <c r="D167">
        <v>0.05</v>
      </c>
      <c r="E167" t="s">
        <v>24</v>
      </c>
      <c r="F167" t="s">
        <v>25</v>
      </c>
      <c r="G167" t="s">
        <v>26</v>
      </c>
      <c r="H167" t="s">
        <v>27</v>
      </c>
      <c r="I167" s="9">
        <v>23</v>
      </c>
      <c r="J167" t="str">
        <f t="shared" si="5"/>
        <v>Master Model G25 Grizzly XL Relapse_TwoAge_B090.05JAGS_Male_2000</v>
      </c>
      <c r="K167" s="9">
        <v>15</v>
      </c>
      <c r="L167" s="9">
        <f>ROUND(IF(ISNUMBER(SEARCH("Relapse",J167)),_xlfn.XLOOKUP(J167,'Pivot and Calcs'!A:A,'Pivot and Calcs'!T:T),I167),0)</f>
        <v>15</v>
      </c>
      <c r="M167">
        <v>0.01</v>
      </c>
      <c r="N167">
        <v>9.9999997764825821E-3</v>
      </c>
      <c r="O167" s="22">
        <v>46254.792724687497</v>
      </c>
      <c r="P167" t="s">
        <v>29</v>
      </c>
      <c r="Q167" t="s">
        <v>30</v>
      </c>
    </row>
    <row r="168" spans="1:17" x14ac:dyDescent="0.3">
      <c r="A168" t="s">
        <v>21</v>
      </c>
      <c r="B168" t="s">
        <v>73</v>
      </c>
      <c r="C168" t="s">
        <v>23</v>
      </c>
      <c r="D168">
        <v>0.1</v>
      </c>
      <c r="E168" t="s">
        <v>24</v>
      </c>
      <c r="F168" t="s">
        <v>25</v>
      </c>
      <c r="G168" t="s">
        <v>26</v>
      </c>
      <c r="H168" t="s">
        <v>27</v>
      </c>
      <c r="I168" s="9">
        <v>21</v>
      </c>
      <c r="J168" t="str">
        <f t="shared" si="5"/>
        <v>Master Model G25 Grizzly XL Relapse_TwoAge_B090.1JAGS_Male_2000</v>
      </c>
      <c r="K168" s="9">
        <v>13</v>
      </c>
      <c r="L168" s="9">
        <f>ROUND(IF(ISNUMBER(SEARCH("Relapse",J168)),_xlfn.XLOOKUP(J168,'Pivot and Calcs'!A:A,'Pivot and Calcs'!T:T),I168),0)</f>
        <v>13</v>
      </c>
      <c r="M168">
        <v>0.01</v>
      </c>
      <c r="N168">
        <v>9.9999997764825821E-3</v>
      </c>
      <c r="O168" s="22">
        <v>46254.792729641202</v>
      </c>
      <c r="P168" t="s">
        <v>29</v>
      </c>
      <c r="Q168" t="s">
        <v>30</v>
      </c>
    </row>
    <row r="169" spans="1:17" x14ac:dyDescent="0.3">
      <c r="A169" t="s">
        <v>21</v>
      </c>
      <c r="B169" t="s">
        <v>73</v>
      </c>
      <c r="C169" t="s">
        <v>32</v>
      </c>
      <c r="D169">
        <v>0.05</v>
      </c>
      <c r="E169" t="s">
        <v>24</v>
      </c>
      <c r="F169" t="s">
        <v>25</v>
      </c>
      <c r="G169" t="s">
        <v>26</v>
      </c>
      <c r="H169" t="s">
        <v>27</v>
      </c>
      <c r="I169" s="9">
        <v>21</v>
      </c>
      <c r="J169" t="str">
        <f t="shared" si="5"/>
        <v>Master Model G25 Grizzly XL Relapse_TwoAge_B090.05JAGS_Female_2000</v>
      </c>
      <c r="K169" s="9">
        <v>15</v>
      </c>
      <c r="L169" s="9">
        <f>ROUND(IF(ISNUMBER(SEARCH("Relapse",J169)),_xlfn.XLOOKUP(J169,'Pivot and Calcs'!A:A,'Pivot and Calcs'!T:T),I169),0)</f>
        <v>15</v>
      </c>
      <c r="M169">
        <v>0.01</v>
      </c>
      <c r="N169">
        <v>9.9999997764825821E-3</v>
      </c>
      <c r="O169" s="22">
        <v>46254.792735023148</v>
      </c>
      <c r="P169" t="s">
        <v>29</v>
      </c>
      <c r="Q169" t="s">
        <v>30</v>
      </c>
    </row>
    <row r="170" spans="1:17" x14ac:dyDescent="0.3">
      <c r="A170" t="s">
        <v>21</v>
      </c>
      <c r="B170" t="s">
        <v>73</v>
      </c>
      <c r="C170" t="s">
        <v>32</v>
      </c>
      <c r="D170">
        <v>0.1</v>
      </c>
      <c r="E170" t="s">
        <v>24</v>
      </c>
      <c r="F170" t="s">
        <v>25</v>
      </c>
      <c r="G170" t="s">
        <v>26</v>
      </c>
      <c r="H170" t="s">
        <v>27</v>
      </c>
      <c r="I170" s="9">
        <v>20</v>
      </c>
      <c r="J170" t="str">
        <f t="shared" si="5"/>
        <v>Master Model G25 Grizzly XL Relapse_TwoAge_B090.1JAGS_Female_2000</v>
      </c>
      <c r="K170" s="9">
        <v>13</v>
      </c>
      <c r="L170" s="9">
        <f>ROUND(IF(ISNUMBER(SEARCH("Relapse",J170)),_xlfn.XLOOKUP(J170,'Pivot and Calcs'!A:A,'Pivot and Calcs'!T:T),I170),0)</f>
        <v>13</v>
      </c>
      <c r="M170">
        <v>0.01</v>
      </c>
      <c r="N170">
        <v>9.9999997764825821E-3</v>
      </c>
      <c r="O170" s="22">
        <v>46254.792738032411</v>
      </c>
      <c r="P170" t="s">
        <v>29</v>
      </c>
      <c r="Q170" t="s">
        <v>30</v>
      </c>
    </row>
    <row r="171" spans="1:17" x14ac:dyDescent="0.3">
      <c r="A171" t="s">
        <v>21</v>
      </c>
      <c r="B171" t="s">
        <v>74</v>
      </c>
      <c r="C171" t="s">
        <v>23</v>
      </c>
      <c r="D171">
        <v>0.05</v>
      </c>
      <c r="E171" t="s">
        <v>24</v>
      </c>
      <c r="F171" t="s">
        <v>25</v>
      </c>
      <c r="G171" t="s">
        <v>26</v>
      </c>
      <c r="H171" t="s">
        <v>27</v>
      </c>
      <c r="I171" s="9">
        <v>9</v>
      </c>
      <c r="J171" t="str">
        <f t="shared" si="5"/>
        <v>Master Model G25 Grizzly XL Relapse_TwoAge_B100.05JAGS_Male_2000</v>
      </c>
      <c r="K171" s="9">
        <v>6</v>
      </c>
      <c r="L171" s="9">
        <f>ROUND(IF(ISNUMBER(SEARCH("Relapse",J171)),_xlfn.XLOOKUP(J171,'Pivot and Calcs'!A:A,'Pivot and Calcs'!T:T),I171),0)</f>
        <v>6</v>
      </c>
      <c r="M171">
        <v>0.01</v>
      </c>
      <c r="N171">
        <v>9.9999997764825821E-3</v>
      </c>
      <c r="O171" s="22">
        <v>46254.793038912037</v>
      </c>
      <c r="P171" t="s">
        <v>29</v>
      </c>
      <c r="Q171" t="s">
        <v>30</v>
      </c>
    </row>
    <row r="172" spans="1:17" x14ac:dyDescent="0.3">
      <c r="A172" t="s">
        <v>21</v>
      </c>
      <c r="B172" t="s">
        <v>74</v>
      </c>
      <c r="C172" t="s">
        <v>23</v>
      </c>
      <c r="D172">
        <v>0.1</v>
      </c>
      <c r="E172" t="s">
        <v>24</v>
      </c>
      <c r="F172" t="s">
        <v>25</v>
      </c>
      <c r="G172" t="s">
        <v>26</v>
      </c>
      <c r="H172" t="s">
        <v>27</v>
      </c>
      <c r="I172" s="9">
        <v>8</v>
      </c>
      <c r="J172" t="str">
        <f t="shared" si="5"/>
        <v>Master Model G25 Grizzly XL Relapse_TwoAge_B100.1JAGS_Male_2000</v>
      </c>
      <c r="K172" s="9">
        <v>5</v>
      </c>
      <c r="L172" s="9">
        <f>ROUND(IF(ISNUMBER(SEARCH("Relapse",J172)),_xlfn.XLOOKUP(J172,'Pivot and Calcs'!A:A,'Pivot and Calcs'!T:T),I172),0)</f>
        <v>5</v>
      </c>
      <c r="M172">
        <v>0.01</v>
      </c>
      <c r="N172">
        <v>9.9999997764825821E-3</v>
      </c>
      <c r="O172" s="22">
        <v>46254.793039444441</v>
      </c>
      <c r="P172" t="s">
        <v>29</v>
      </c>
      <c r="Q172" t="s">
        <v>30</v>
      </c>
    </row>
    <row r="173" spans="1:17" x14ac:dyDescent="0.3">
      <c r="A173" t="s">
        <v>21</v>
      </c>
      <c r="B173" t="s">
        <v>74</v>
      </c>
      <c r="C173" t="s">
        <v>32</v>
      </c>
      <c r="D173">
        <v>0.05</v>
      </c>
      <c r="E173" t="s">
        <v>24</v>
      </c>
      <c r="F173" t="s">
        <v>25</v>
      </c>
      <c r="G173" t="s">
        <v>26</v>
      </c>
      <c r="H173" t="s">
        <v>27</v>
      </c>
      <c r="I173" s="9">
        <v>8</v>
      </c>
      <c r="J173" t="str">
        <f t="shared" si="5"/>
        <v>Master Model G25 Grizzly XL Relapse_TwoAge_B100.05JAGS_Female_2000</v>
      </c>
      <c r="K173" s="9">
        <v>5</v>
      </c>
      <c r="L173" s="9">
        <f>ROUND(IF(ISNUMBER(SEARCH("Relapse",J173)),_xlfn.XLOOKUP(J173,'Pivot and Calcs'!A:A,'Pivot and Calcs'!T:T),I173),0)</f>
        <v>5</v>
      </c>
      <c r="M173">
        <v>0.01</v>
      </c>
      <c r="N173">
        <v>9.9999997764825821E-3</v>
      </c>
      <c r="O173" s="22">
        <v>46254.793039942131</v>
      </c>
      <c r="P173" t="s">
        <v>29</v>
      </c>
      <c r="Q173" t="s">
        <v>30</v>
      </c>
    </row>
    <row r="174" spans="1:17" x14ac:dyDescent="0.3">
      <c r="A174" t="s">
        <v>21</v>
      </c>
      <c r="B174" t="s">
        <v>74</v>
      </c>
      <c r="C174" t="s">
        <v>32</v>
      </c>
      <c r="D174">
        <v>0.1</v>
      </c>
      <c r="E174" t="s">
        <v>24</v>
      </c>
      <c r="F174" t="s">
        <v>25</v>
      </c>
      <c r="G174" t="s">
        <v>26</v>
      </c>
      <c r="H174" t="s">
        <v>27</v>
      </c>
      <c r="I174" s="9">
        <v>8</v>
      </c>
      <c r="J174" t="str">
        <f t="shared" si="5"/>
        <v>Master Model G25 Grizzly XL Relapse_TwoAge_B100.1JAGS_Female_2000</v>
      </c>
      <c r="K174" s="9">
        <v>4</v>
      </c>
      <c r="L174" s="9">
        <f>ROUND(IF(ISNUMBER(SEARCH("Relapse",J174)),_xlfn.XLOOKUP(J174,'Pivot and Calcs'!A:A,'Pivot and Calcs'!T:T),I174),0)</f>
        <v>4</v>
      </c>
      <c r="M174">
        <v>0.01</v>
      </c>
      <c r="N174">
        <v>9.9999997764825821E-3</v>
      </c>
      <c r="O174" s="22">
        <v>46254.793040462973</v>
      </c>
      <c r="P174" t="s">
        <v>29</v>
      </c>
      <c r="Q174" t="s">
        <v>30</v>
      </c>
    </row>
    <row r="175" spans="1:17" x14ac:dyDescent="0.3">
      <c r="A175" t="s">
        <v>21</v>
      </c>
      <c r="B175" t="s">
        <v>75</v>
      </c>
      <c r="C175" t="s">
        <v>23</v>
      </c>
      <c r="D175">
        <v>0.05</v>
      </c>
      <c r="E175" t="s">
        <v>24</v>
      </c>
      <c r="F175" t="s">
        <v>25</v>
      </c>
      <c r="G175" t="s">
        <v>26</v>
      </c>
      <c r="H175" t="s">
        <v>27</v>
      </c>
      <c r="I175" s="9">
        <v>2</v>
      </c>
      <c r="J175" t="str">
        <f t="shared" si="5"/>
        <v>Master Model G25 Grizzly XL Relapse_TwoAge_B110.05JAGS_Male_2000</v>
      </c>
      <c r="K175" s="9">
        <v>1</v>
      </c>
      <c r="L175" s="9">
        <f>ROUND(IF(ISNUMBER(SEARCH("Relapse",J175)),_xlfn.XLOOKUP(J175,'Pivot and Calcs'!A:A,'Pivot and Calcs'!T:T),I175),0)</f>
        <v>1</v>
      </c>
      <c r="M175">
        <v>0.01</v>
      </c>
      <c r="N175">
        <v>9.9999997764825821E-3</v>
      </c>
      <c r="O175" s="22">
        <v>46254.793228946757</v>
      </c>
      <c r="P175" t="s">
        <v>29</v>
      </c>
      <c r="Q175" t="s">
        <v>30</v>
      </c>
    </row>
    <row r="176" spans="1:17" x14ac:dyDescent="0.3">
      <c r="A176" t="s">
        <v>21</v>
      </c>
      <c r="B176" t="s">
        <v>75</v>
      </c>
      <c r="C176" t="s">
        <v>23</v>
      </c>
      <c r="D176">
        <v>0.1</v>
      </c>
      <c r="E176" t="s">
        <v>24</v>
      </c>
      <c r="F176" t="s">
        <v>25</v>
      </c>
      <c r="G176" t="s">
        <v>26</v>
      </c>
      <c r="H176" t="s">
        <v>27</v>
      </c>
      <c r="I176" s="9">
        <v>2</v>
      </c>
      <c r="J176" t="str">
        <f t="shared" si="5"/>
        <v>Master Model G25 Grizzly XL Relapse_TwoAge_B110.1JAGS_Male_2000</v>
      </c>
      <c r="K176" s="9">
        <v>1</v>
      </c>
      <c r="L176" s="9">
        <f>ROUND(IF(ISNUMBER(SEARCH("Relapse",J176)),_xlfn.XLOOKUP(J176,'Pivot and Calcs'!A:A,'Pivot and Calcs'!T:T),I176),0)</f>
        <v>1</v>
      </c>
      <c r="M176">
        <v>0.01</v>
      </c>
      <c r="N176">
        <v>9.9999997764825821E-3</v>
      </c>
      <c r="O176" s="22">
        <v>46254.793229525458</v>
      </c>
      <c r="P176" t="s">
        <v>29</v>
      </c>
      <c r="Q176" t="s">
        <v>30</v>
      </c>
    </row>
    <row r="177" spans="1:17" x14ac:dyDescent="0.3">
      <c r="A177" t="s">
        <v>21</v>
      </c>
      <c r="B177" t="s">
        <v>75</v>
      </c>
      <c r="C177" t="s">
        <v>32</v>
      </c>
      <c r="D177">
        <v>0.05</v>
      </c>
      <c r="E177" t="s">
        <v>24</v>
      </c>
      <c r="F177" t="s">
        <v>25</v>
      </c>
      <c r="G177" t="s">
        <v>26</v>
      </c>
      <c r="H177" t="s">
        <v>27</v>
      </c>
      <c r="I177" s="9">
        <v>2</v>
      </c>
      <c r="J177" t="str">
        <f t="shared" si="5"/>
        <v>Master Model G25 Grizzly XL Relapse_TwoAge_B110.05JAGS_Female_2000</v>
      </c>
      <c r="K177" s="9">
        <v>2</v>
      </c>
      <c r="L177" s="9">
        <f>ROUND(IF(ISNUMBER(SEARCH("Relapse",J177)),_xlfn.XLOOKUP(J177,'Pivot and Calcs'!A:A,'Pivot and Calcs'!T:T),I177),0)</f>
        <v>2</v>
      </c>
      <c r="M177">
        <v>0.01</v>
      </c>
      <c r="N177">
        <v>9.9999997764825821E-3</v>
      </c>
      <c r="O177" s="22">
        <v>46254.793229965268</v>
      </c>
      <c r="P177" t="s">
        <v>29</v>
      </c>
      <c r="Q177" t="s">
        <v>30</v>
      </c>
    </row>
    <row r="178" spans="1:17" x14ac:dyDescent="0.3">
      <c r="A178" t="s">
        <v>21</v>
      </c>
      <c r="B178" t="s">
        <v>75</v>
      </c>
      <c r="C178" t="s">
        <v>32</v>
      </c>
      <c r="D178">
        <v>0.1</v>
      </c>
      <c r="E178" t="s">
        <v>24</v>
      </c>
      <c r="F178" t="s">
        <v>25</v>
      </c>
      <c r="G178" t="s">
        <v>26</v>
      </c>
      <c r="H178" t="s">
        <v>27</v>
      </c>
      <c r="I178" s="9">
        <v>2</v>
      </c>
      <c r="J178" t="str">
        <f t="shared" si="5"/>
        <v>Master Model G25 Grizzly XL Relapse_TwoAge_B110.1JAGS_Female_2000</v>
      </c>
      <c r="K178" s="9">
        <v>2</v>
      </c>
      <c r="L178" s="9">
        <f>ROUND(IF(ISNUMBER(SEARCH("Relapse",J178)),_xlfn.XLOOKUP(J178,'Pivot and Calcs'!A:A,'Pivot and Calcs'!T:T),I178),0)</f>
        <v>2</v>
      </c>
      <c r="M178">
        <v>0.01</v>
      </c>
      <c r="N178">
        <v>9.9999997764825821E-3</v>
      </c>
      <c r="O178" s="22">
        <v>46254.793230393523</v>
      </c>
      <c r="P178" t="s">
        <v>29</v>
      </c>
      <c r="Q17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Results ALL.T DIFF_ALL</vt:lpstr>
      <vt:lpstr>Pivot and Calcs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DPM Model Results</dc:title>
  <dc:subject>Dynamic Population Model Results</dc:subject>
  <dc:creator>DPM Portal</dc:creator>
  <cp:lastModifiedBy>Yemi Odeyemi</cp:lastModifiedBy>
  <dcterms:created xsi:type="dcterms:W3CDTF">2026-09-04T15:42:32Z</dcterms:created>
  <dcterms:modified xsi:type="dcterms:W3CDTF">2026-09-11T23:06:50Z</dcterms:modified>
</cp:coreProperties>
</file>