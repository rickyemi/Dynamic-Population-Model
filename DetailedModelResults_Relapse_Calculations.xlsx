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etailed Results ALL.T DIFF_ALL" sheetId="1" state="visible" r:id="rId1"/>
    <sheet xmlns:r="http://schemas.openxmlformats.org/officeDocument/2006/relationships" name="Pivot and Calcs" sheetId="2" state="visible" r:id="rId2"/>
    <sheet xmlns:r="http://schemas.openxmlformats.org/officeDocument/2006/relationships" name="Detailed 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\ hh:mm\ AM/PM"/>
    <numFmt numFmtId="165" formatCode="0.0000"/>
    <numFmt numFmtId="166" formatCode="yyyy-mm-dd h:mm:ss"/>
    <numFmt numFmtId="167" formatCode="yyyy-mm-dd hh:mm"/>
  </numFmts>
  <fonts count="6">
    <font>
      <name val="Calibri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0000B050"/>
      </patternFill>
    </fill>
    <fill>
      <patternFill patternType="solid">
        <fgColor rgb="000070C0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Alignment="1">
      <alignment horizontal="right"/>
    </xf>
    <xf numFmtId="0" fontId="2" fillId="0" borderId="0" applyAlignment="1">
      <alignment horizontal="left"/>
    </xf>
    <xf numFmtId="0" fontId="1" fillId="0" borderId="0" applyAlignment="1">
      <alignment horizontal="center"/>
    </xf>
    <xf numFmtId="0" fontId="1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5">
      <alignment horizontal="left"/>
    </xf>
    <xf numFmtId="0" fontId="1" fillId="0" borderId="1" applyAlignment="1" pivotButton="0" quotePrefix="0" xfId="4">
      <alignment horizontal="center"/>
    </xf>
    <xf numFmtId="0" fontId="2" fillId="0" borderId="1" applyAlignment="1" pivotButton="0" quotePrefix="0" xfId="3">
      <alignment horizontal="left"/>
    </xf>
    <xf numFmtId="2" fontId="2" fillId="0" borderId="1" applyAlignment="1" pivotButton="0" quotePrefix="0" xfId="3">
      <alignment horizontal="left"/>
    </xf>
    <xf numFmtId="3" fontId="2" fillId="0" borderId="1" applyAlignment="1" pivotButton="0" quotePrefix="0" xfId="2">
      <alignment horizontal="right"/>
    </xf>
    <xf numFmtId="2" fontId="2" fillId="0" borderId="1" applyAlignment="1" pivotButton="0" quotePrefix="0" xfId="2">
      <alignment horizontal="right"/>
    </xf>
    <xf numFmtId="164" fontId="2" fillId="0" borderId="1" applyAlignment="1" pivotButton="0" quotePrefix="0" xfId="3">
      <alignment horizontal="left"/>
    </xf>
    <xf numFmtId="0" fontId="0" fillId="0" borderId="0" pivotButton="1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165" fontId="0" fillId="2" borderId="2" applyAlignment="1" pivotButton="0" quotePrefix="0" xfId="0">
      <alignment vertical="top" wrapText="1"/>
    </xf>
    <xf numFmtId="165" fontId="1" fillId="3" borderId="2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2" fillId="2" borderId="2" pivotButton="0" quotePrefix="0" xfId="0"/>
    <xf numFmtId="0" fontId="0" fillId="2" borderId="2" pivotButton="0" quotePrefix="0" xfId="0"/>
    <xf numFmtId="3" fontId="0" fillId="0" borderId="2" pivotButton="0" quotePrefix="0" xfId="0"/>
    <xf numFmtId="3" fontId="3" fillId="0" borderId="2" pivotButton="0" quotePrefix="0" xfId="0"/>
    <xf numFmtId="2" fontId="0" fillId="0" borderId="2" pivotButton="0" quotePrefix="0" xfId="0"/>
    <xf numFmtId="0" fontId="3" fillId="0" borderId="2" pivotButton="0" quotePrefix="0" xfId="0"/>
    <xf numFmtId="0" fontId="1" fillId="5" borderId="2" pivotButton="0" quotePrefix="0" xfId="0"/>
    <xf numFmtId="0" fontId="0" fillId="5" borderId="0" pivotButton="0" quotePrefix="0" xfId="0"/>
    <xf numFmtId="0" fontId="2" fillId="4" borderId="1" applyAlignment="1" pivotButton="0" quotePrefix="0" xfId="3">
      <alignment horizontal="left"/>
    </xf>
    <xf numFmtId="2" fontId="2" fillId="4" borderId="1" applyAlignment="1" pivotButton="0" quotePrefix="0" xfId="3">
      <alignment horizontal="left"/>
    </xf>
    <xf numFmtId="3" fontId="2" fillId="4" borderId="1" applyAlignment="1" pivotButton="0" quotePrefix="0" xfId="2">
      <alignment horizontal="right"/>
    </xf>
    <xf numFmtId="2" fontId="2" fillId="4" borderId="1" applyAlignment="1" pivotButton="0" quotePrefix="0" xfId="2">
      <alignment horizontal="right"/>
    </xf>
    <xf numFmtId="164" fontId="2" fillId="4" borderId="1" applyAlignment="1" pivotButton="0" quotePrefix="0" xfId="3">
      <alignment horizontal="left"/>
    </xf>
    <xf numFmtId="0" fontId="0" fillId="4" borderId="0" pivotButton="0" quotePrefix="0" xfId="0"/>
    <xf numFmtId="3" fontId="0" fillId="0" borderId="3" pivotButton="0" quotePrefix="0" xfId="0"/>
    <xf numFmtId="0" fontId="0" fillId="0" borderId="3" pivotButton="0" quotePrefix="0" xfId="0"/>
    <xf numFmtId="2" fontId="0" fillId="0" borderId="3" pivotButton="0" quotePrefix="0" xfId="0"/>
    <xf numFmtId="0" fontId="1" fillId="5" borderId="3" pivotButton="0" quotePrefix="0" xfId="0"/>
    <xf numFmtId="3" fontId="4" fillId="0" borderId="2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0" borderId="0" pivotButton="0" quotePrefix="0" xfId="0"/>
    <xf numFmtId="0" fontId="5" fillId="9" borderId="0" pivotButton="0" quotePrefix="0" xfId="0"/>
    <xf numFmtId="167" fontId="0" fillId="0" borderId="0" pivotButton="0" quotePrefix="0" xfId="0"/>
  </cellXfs>
  <cellStyles count="6">
    <cellStyle name="Normal" xfId="0" builtinId="0"/>
    <cellStyle name="headerStyle" xfId="1"/>
    <cellStyle name="dataRightStyle" xfId="2"/>
    <cellStyle name="dataLeftStyle" xfId="3"/>
    <cellStyle name="dataHeaderStyle" xfId="4"/>
    <cellStyle name="dataHeaderLeftStyle" xfId="5"/>
  </cellStyles>
  <dxfs count="47"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family val="2"/>
        <b val="1"/>
      </font>
    </dxf>
    <dxf>
      <font>
        <family val="2"/>
        <b val="1"/>
      </font>
    </dxf>
    <dxf>
      <font>
        <family val="2"/>
        <b val="1"/>
      </font>
    </dxf>
    <dxf>
      <font>
        <family val="2"/>
        <b val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family val="2"/>
        <b val="1"/>
      </font>
    </dxf>
    <dxf>
      <font>
        <family val="2"/>
        <b val="1"/>
      </font>
    </dxf>
    <dxf>
      <font>
        <family val="2"/>
        <b val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4"/>
  <sheetViews>
    <sheetView tabSelected="1" topLeftCell="L334" workbookViewId="0">
      <selection activeCell="J213" sqref="J213"/>
    </sheetView>
  </sheetViews>
  <sheetFormatPr baseColWidth="8" defaultColWidth="16.85546875" defaultRowHeight="15"/>
  <cols>
    <col width="31.5703125" customWidth="1" min="1" max="1"/>
    <col width="52.85546875" customWidth="1" min="2" max="2"/>
    <col width="32" customWidth="1" min="3" max="3"/>
    <col width="26.140625" customWidth="1" min="4" max="4"/>
    <col hidden="1" min="5" max="7"/>
    <col width="19.7109375" customWidth="1" min="18" max="18"/>
  </cols>
  <sheetData>
    <row r="1">
      <c r="A1" s="1" t="inlineStr">
        <is>
          <t>Detailed Model Results</t>
        </is>
      </c>
    </row>
    <row r="2">
      <c r="A2" s="2" t="inlineStr">
        <is>
          <t>Model Group</t>
        </is>
      </c>
      <c r="B2" s="2" t="inlineStr">
        <is>
          <t>Model Name</t>
        </is>
      </c>
      <c r="C2" s="2" t="inlineStr">
        <is>
          <t>Mortality Model</t>
        </is>
      </c>
      <c r="D2" s="2" t="inlineStr">
        <is>
          <t>ERR</t>
        </is>
      </c>
      <c r="E2" s="2" t="inlineStr">
        <is>
          <t>ERR Variability</t>
        </is>
      </c>
      <c r="F2" s="2" t="inlineStr">
        <is>
          <t>TP Variability</t>
        </is>
      </c>
      <c r="G2" s="2" t="inlineStr">
        <is>
          <t>Age Range</t>
        </is>
      </c>
      <c r="H2" s="2" t="inlineStr">
        <is>
          <t>Node</t>
        </is>
      </c>
      <c r="I2" s="3" t="inlineStr">
        <is>
          <t>Mean</t>
        </is>
      </c>
      <c r="J2" s="3" t="inlineStr">
        <is>
          <t>Trans. Prob Stand. Dev.</t>
        </is>
      </c>
      <c r="K2" s="3" t="inlineStr">
        <is>
          <t>ERR Standard Deviation</t>
        </is>
      </c>
      <c r="L2" s="3" t="inlineStr">
        <is>
          <t>QALE Mean</t>
        </is>
      </c>
      <c r="M2" s="3" t="inlineStr">
        <is>
          <t>QALE 2.5%</t>
        </is>
      </c>
      <c r="N2" s="3" t="inlineStr">
        <is>
          <t>QALE 97.5%</t>
        </is>
      </c>
      <c r="O2" s="3" t="inlineStr">
        <is>
          <t>LE Mean</t>
        </is>
      </c>
      <c r="P2" s="3" t="inlineStr">
        <is>
          <t>LE 2.5%</t>
        </is>
      </c>
      <c r="Q2" s="3" t="inlineStr">
        <is>
          <t>LE 97.5%</t>
        </is>
      </c>
      <c r="R2" s="3" t="inlineStr">
        <is>
          <t>Creation Date</t>
        </is>
      </c>
      <c r="S2" s="3" t="inlineStr">
        <is>
          <t>Web Version</t>
        </is>
      </c>
      <c r="T2" s="3" t="inlineStr">
        <is>
          <t>R Version</t>
        </is>
      </c>
    </row>
    <row r="3">
      <c r="A3" s="4" t="inlineStr">
        <is>
          <t>Grizzly XL YO</t>
        </is>
      </c>
      <c r="B3" s="4" t="inlineStr">
        <is>
          <t>Master Model G10 Grizzly XL_TwoAge_5a_6a_14b_15a_B01</t>
        </is>
      </c>
      <c r="C3" s="4" t="inlineStr">
        <is>
          <t>JAGS_Male_2000</t>
        </is>
      </c>
      <c r="D3" s="5" t="n">
        <v>0.05</v>
      </c>
      <c r="E3" s="4" t="inlineStr">
        <is>
          <t>Variable</t>
        </is>
      </c>
      <c r="F3" s="4" t="inlineStr">
        <is>
          <t>Smoking initiation and cessation variable</t>
        </is>
      </c>
      <c r="G3" s="4" t="inlineStr">
        <is>
          <t>68 - 72</t>
        </is>
      </c>
      <c r="H3" s="4" t="inlineStr">
        <is>
          <t>DIFF_ALL</t>
        </is>
      </c>
      <c r="I3" s="6" t="n">
        <v>2678.813451</v>
      </c>
      <c r="J3" s="7" t="n">
        <v>0.01</v>
      </c>
      <c r="K3" s="7" t="n">
        <v>0.009999999776482582</v>
      </c>
      <c r="L3" s="4" t="inlineStr">
        <is>
          <t>N/A</t>
        </is>
      </c>
      <c r="M3" s="4" t="inlineStr">
        <is>
          <t>N/A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N/A</t>
        </is>
      </c>
      <c r="Q3" s="4" t="inlineStr">
        <is>
          <t>N/A</t>
        </is>
      </c>
      <c r="R3" s="8" t="n">
        <v>46254.03570530093</v>
      </c>
      <c r="S3" s="4" t="inlineStr">
        <is>
          <t>3.0.0</t>
        </is>
      </c>
      <c r="T3" s="4" t="inlineStr">
        <is>
          <t>1.8</t>
        </is>
      </c>
    </row>
    <row r="4">
      <c r="A4" s="4" t="inlineStr">
        <is>
          <t>Grizzly XL YO</t>
        </is>
      </c>
      <c r="B4" s="4" t="inlineStr">
        <is>
          <t>Master Model G10 Grizzly XL_TwoAge_5a_6a_14b_15a_B01</t>
        </is>
      </c>
      <c r="C4" s="4" t="inlineStr">
        <is>
          <t>JAGS_Male_2000</t>
        </is>
      </c>
      <c r="D4" s="5" t="n">
        <v>0.05</v>
      </c>
      <c r="E4" s="4" t="inlineStr">
        <is>
          <t>Variable</t>
        </is>
      </c>
      <c r="F4" s="4" t="inlineStr">
        <is>
          <t>Smoking initiation and cessation variable</t>
        </is>
      </c>
      <c r="G4" s="4" t="inlineStr">
        <is>
          <t>68 - 72</t>
        </is>
      </c>
      <c r="H4" s="4" t="inlineStr">
        <is>
          <t>ALL.T</t>
        </is>
      </c>
      <c r="I4" s="6" t="n">
        <v>681444.342097</v>
      </c>
      <c r="J4" s="7" t="n">
        <v>0.01</v>
      </c>
      <c r="K4" s="7" t="n">
        <v>0.009999999776482582</v>
      </c>
      <c r="L4" s="4" t="inlineStr">
        <is>
          <t>N/A</t>
        </is>
      </c>
      <c r="M4" s="4" t="inlineStr">
        <is>
          <t>N/A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N/A</t>
        </is>
      </c>
      <c r="Q4" s="4" t="inlineStr">
        <is>
          <t>N/A</t>
        </is>
      </c>
      <c r="R4" s="8" t="n">
        <v>46254.03570530093</v>
      </c>
      <c r="S4" s="4" t="inlineStr">
        <is>
          <t>3.0.0</t>
        </is>
      </c>
      <c r="T4" s="4" t="inlineStr">
        <is>
          <t>1.8</t>
        </is>
      </c>
    </row>
    <row r="5">
      <c r="A5" s="4" t="inlineStr">
        <is>
          <t>Grizzly XL YO</t>
        </is>
      </c>
      <c r="B5" s="4" t="inlineStr">
        <is>
          <t>Master Model G10 Grizzly XL_TwoAge_5a_6a_14b_15a_B01</t>
        </is>
      </c>
      <c r="C5" s="4" t="inlineStr">
        <is>
          <t>JAGS_Male_2000</t>
        </is>
      </c>
      <c r="D5" s="5" t="n">
        <v>0.1</v>
      </c>
      <c r="E5" s="4" t="inlineStr">
        <is>
          <t>Variable</t>
        </is>
      </c>
      <c r="F5" s="4" t="inlineStr">
        <is>
          <t>Smoking initiation and cessation variable</t>
        </is>
      </c>
      <c r="G5" s="4" t="inlineStr">
        <is>
          <t>68 - 72</t>
        </is>
      </c>
      <c r="H5" s="4" t="inlineStr">
        <is>
          <t>DIFF_ALL</t>
        </is>
      </c>
      <c r="I5" s="6" t="n">
        <v>2047.431422</v>
      </c>
      <c r="J5" s="7" t="n">
        <v>0.01</v>
      </c>
      <c r="K5" s="7" t="n">
        <v>0.009999999776482582</v>
      </c>
      <c r="L5" s="4" t="inlineStr">
        <is>
          <t>N/A</t>
        </is>
      </c>
      <c r="M5" s="4" t="inlineStr">
        <is>
          <t>N/A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N/A</t>
        </is>
      </c>
      <c r="Q5" s="4" t="inlineStr">
        <is>
          <t>N/A</t>
        </is>
      </c>
      <c r="R5" s="8" t="n">
        <v>46254.03570530093</v>
      </c>
      <c r="S5" s="4" t="inlineStr">
        <is>
          <t>3.0.0</t>
        </is>
      </c>
      <c r="T5" s="4" t="inlineStr">
        <is>
          <t>1.8</t>
        </is>
      </c>
    </row>
    <row r="6">
      <c r="A6" s="4" t="inlineStr">
        <is>
          <t>Grizzly XL YO</t>
        </is>
      </c>
      <c r="B6" s="4" t="inlineStr">
        <is>
          <t>Master Model G10 Grizzly XL_TwoAge_5a_6a_14b_15a_B01</t>
        </is>
      </c>
      <c r="C6" s="4" t="inlineStr">
        <is>
          <t>JAGS_Male_2000</t>
        </is>
      </c>
      <c r="D6" s="5" t="n">
        <v>0.1</v>
      </c>
      <c r="E6" s="4" t="inlineStr">
        <is>
          <t>Variable</t>
        </is>
      </c>
      <c r="F6" s="4" t="inlineStr">
        <is>
          <t>Smoking initiation and cessation variable</t>
        </is>
      </c>
      <c r="G6" s="4" t="inlineStr">
        <is>
          <t>68 - 72</t>
        </is>
      </c>
      <c r="H6" s="4" t="inlineStr">
        <is>
          <t>ALL.T</t>
        </is>
      </c>
      <c r="I6" s="6" t="n">
        <v>680812.960068</v>
      </c>
      <c r="J6" s="7" t="n">
        <v>0.01</v>
      </c>
      <c r="K6" s="7" t="n">
        <v>0.009999999776482582</v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N/A</t>
        </is>
      </c>
      <c r="R6" s="8" t="n">
        <v>46254.03570530093</v>
      </c>
      <c r="S6" s="4" t="inlineStr">
        <is>
          <t>3.0.0</t>
        </is>
      </c>
      <c r="T6" s="4" t="inlineStr">
        <is>
          <t>1.8</t>
        </is>
      </c>
    </row>
    <row r="7">
      <c r="A7" s="4" t="inlineStr">
        <is>
          <t>Grizzly XL YO</t>
        </is>
      </c>
      <c r="B7" s="4" t="inlineStr">
        <is>
          <t>Master Model G10 Grizzly XL_TwoAge_5a_6a_14b_15a_B01</t>
        </is>
      </c>
      <c r="C7" s="4" t="inlineStr">
        <is>
          <t>JAGS_Female_2000</t>
        </is>
      </c>
      <c r="D7" s="5" t="n">
        <v>0.05</v>
      </c>
      <c r="E7" s="4" t="inlineStr">
        <is>
          <t>Variable</t>
        </is>
      </c>
      <c r="F7" s="4" t="inlineStr">
        <is>
          <t>Smoking initiation and cessation variable</t>
        </is>
      </c>
      <c r="G7" s="4" t="inlineStr">
        <is>
          <t>68 - 72</t>
        </is>
      </c>
      <c r="H7" s="4" t="inlineStr">
        <is>
          <t>DIFF_ALL</t>
        </is>
      </c>
      <c r="I7" s="6" t="n">
        <v>2294.069928</v>
      </c>
      <c r="J7" s="7" t="n">
        <v>0.01</v>
      </c>
      <c r="K7" s="7" t="n">
        <v>0.009999999776482582</v>
      </c>
      <c r="L7" s="4" t="inlineStr">
        <is>
          <t>N/A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N/A</t>
        </is>
      </c>
      <c r="Q7" s="4" t="inlineStr">
        <is>
          <t>N/A</t>
        </is>
      </c>
      <c r="R7" s="8" t="n">
        <v>46254.03570530093</v>
      </c>
      <c r="S7" s="4" t="inlineStr">
        <is>
          <t>3.0.0</t>
        </is>
      </c>
      <c r="T7" s="4" t="inlineStr">
        <is>
          <t>1.8</t>
        </is>
      </c>
    </row>
    <row r="8">
      <c r="A8" s="4" t="inlineStr">
        <is>
          <t>Grizzly XL YO</t>
        </is>
      </c>
      <c r="B8" s="4" t="inlineStr">
        <is>
          <t>Master Model G10 Grizzly XL_TwoAge_5a_6a_14b_15a_B01</t>
        </is>
      </c>
      <c r="C8" s="4" t="inlineStr">
        <is>
          <t>JAGS_Female_2000</t>
        </is>
      </c>
      <c r="D8" s="5" t="n">
        <v>0.05</v>
      </c>
      <c r="E8" s="4" t="inlineStr">
        <is>
          <t>Variable</t>
        </is>
      </c>
      <c r="F8" s="4" t="inlineStr">
        <is>
          <t>Smoking initiation and cessation variable</t>
        </is>
      </c>
      <c r="G8" s="4" t="inlineStr">
        <is>
          <t>68 - 72</t>
        </is>
      </c>
      <c r="H8" s="4" t="inlineStr">
        <is>
          <t>ALL.T</t>
        </is>
      </c>
      <c r="I8" s="6" t="n">
        <v>787255.379352</v>
      </c>
      <c r="J8" s="7" t="n">
        <v>0.01</v>
      </c>
      <c r="K8" s="7" t="n">
        <v>0.009999999776482582</v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N/A</t>
        </is>
      </c>
      <c r="Q8" s="4" t="inlineStr">
        <is>
          <t>N/A</t>
        </is>
      </c>
      <c r="R8" s="8" t="n">
        <v>46254.03570530093</v>
      </c>
      <c r="S8" s="4" t="inlineStr">
        <is>
          <t>3.0.0</t>
        </is>
      </c>
      <c r="T8" s="4" t="inlineStr">
        <is>
          <t>1.8</t>
        </is>
      </c>
    </row>
    <row r="9">
      <c r="A9" s="4" t="inlineStr">
        <is>
          <t>Grizzly XL YO</t>
        </is>
      </c>
      <c r="B9" s="4" t="inlineStr">
        <is>
          <t>Master Model G10 Grizzly XL_TwoAge_5a_6a_14b_15a_B01</t>
        </is>
      </c>
      <c r="C9" s="4" t="inlineStr">
        <is>
          <t>JAGS_Female_2000</t>
        </is>
      </c>
      <c r="D9" s="5" t="n">
        <v>0.1</v>
      </c>
      <c r="E9" s="4" t="inlineStr">
        <is>
          <t>Variable</t>
        </is>
      </c>
      <c r="F9" s="4" t="inlineStr">
        <is>
          <t>Smoking initiation and cessation variable</t>
        </is>
      </c>
      <c r="G9" s="4" t="inlineStr">
        <is>
          <t>68 - 72</t>
        </is>
      </c>
      <c r="H9" s="4" t="inlineStr">
        <is>
          <t>DIFF_ALL</t>
        </is>
      </c>
      <c r="I9" s="6" t="n">
        <v>1782.939146</v>
      </c>
      <c r="J9" s="7" t="n">
        <v>0.01</v>
      </c>
      <c r="K9" s="7" t="n">
        <v>0.009999999776482582</v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N/A</t>
        </is>
      </c>
      <c r="Q9" s="4" t="inlineStr">
        <is>
          <t>N/A</t>
        </is>
      </c>
      <c r="R9" s="8" t="n">
        <v>46254.03570530093</v>
      </c>
      <c r="S9" s="4" t="inlineStr">
        <is>
          <t>3.0.0</t>
        </is>
      </c>
      <c r="T9" s="4" t="inlineStr">
        <is>
          <t>1.8</t>
        </is>
      </c>
    </row>
    <row r="10">
      <c r="A10" s="4" t="inlineStr">
        <is>
          <t>Grizzly XL YO</t>
        </is>
      </c>
      <c r="B10" s="4" t="inlineStr">
        <is>
          <t>Master Model G10 Grizzly XL_TwoAge_5a_6a_14b_15a_B01</t>
        </is>
      </c>
      <c r="C10" s="4" t="inlineStr">
        <is>
          <t>JAGS_Female_2000</t>
        </is>
      </c>
      <c r="D10" s="5" t="n">
        <v>0.1</v>
      </c>
      <c r="E10" s="4" t="inlineStr">
        <is>
          <t>Variable</t>
        </is>
      </c>
      <c r="F10" s="4" t="inlineStr">
        <is>
          <t>Smoking initiation and cessation variable</t>
        </is>
      </c>
      <c r="G10" s="4" t="inlineStr">
        <is>
          <t>68 - 72</t>
        </is>
      </c>
      <c r="H10" s="4" t="inlineStr">
        <is>
          <t>ALL.T</t>
        </is>
      </c>
      <c r="I10" s="6" t="n">
        <v>786744.2485700001</v>
      </c>
      <c r="J10" s="7" t="n">
        <v>0.01</v>
      </c>
      <c r="K10" s="7" t="n">
        <v>0.009999999776482582</v>
      </c>
      <c r="L10" s="4" t="inlineStr">
        <is>
          <t>N/A</t>
        </is>
      </c>
      <c r="M10" s="4" t="inlineStr">
        <is>
          <t>N/A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N/A</t>
        </is>
      </c>
      <c r="Q10" s="4" t="inlineStr">
        <is>
          <t>N/A</t>
        </is>
      </c>
      <c r="R10" s="8" t="n">
        <v>46254.03570530093</v>
      </c>
      <c r="S10" s="4" t="inlineStr">
        <is>
          <t>3.0.0</t>
        </is>
      </c>
      <c r="T10" s="4" t="inlineStr">
        <is>
          <t>1.8</t>
        </is>
      </c>
    </row>
    <row r="11">
      <c r="A11" s="4" t="inlineStr">
        <is>
          <t>Grizzly XL YO</t>
        </is>
      </c>
      <c r="B11" s="4" t="inlineStr">
        <is>
          <t>Master Model G10 Grizzly XL_TwoAge_5a_6a_14b_15a_B02</t>
        </is>
      </c>
      <c r="C11" s="4" t="inlineStr">
        <is>
          <t>JAGS_Male_2000</t>
        </is>
      </c>
      <c r="D11" s="5" t="n">
        <v>0.05</v>
      </c>
      <c r="E11" s="4" t="inlineStr">
        <is>
          <t>Variable</t>
        </is>
      </c>
      <c r="F11" s="4" t="inlineStr">
        <is>
          <t>Smoking initiation and cessation variable</t>
        </is>
      </c>
      <c r="G11" s="4" t="inlineStr">
        <is>
          <t>68 - 72</t>
        </is>
      </c>
      <c r="H11" s="4" t="inlineStr">
        <is>
          <t>DIFF_ALL</t>
        </is>
      </c>
      <c r="I11" s="6" t="n">
        <v>2392.287797</v>
      </c>
      <c r="J11" s="7" t="n">
        <v>0.01</v>
      </c>
      <c r="K11" s="7" t="n">
        <v>0.009999999776482582</v>
      </c>
      <c r="L11" s="4" t="inlineStr">
        <is>
          <t>N/A</t>
        </is>
      </c>
      <c r="M11" s="4" t="inlineStr">
        <is>
          <t>N/A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N/A</t>
        </is>
      </c>
      <c r="Q11" s="4" t="inlineStr">
        <is>
          <t>N/A</t>
        </is>
      </c>
      <c r="R11" s="8" t="n">
        <v>46254.03570530093</v>
      </c>
      <c r="S11" s="4" t="inlineStr">
        <is>
          <t>3.0.0</t>
        </is>
      </c>
      <c r="T11" s="4" t="inlineStr">
        <is>
          <t>1.8</t>
        </is>
      </c>
    </row>
    <row r="12">
      <c r="A12" s="4" t="inlineStr">
        <is>
          <t>Grizzly XL YO</t>
        </is>
      </c>
      <c r="B12" s="4" t="inlineStr">
        <is>
          <t>Master Model G10 Grizzly XL_TwoAge_5a_6a_14b_15a_B02</t>
        </is>
      </c>
      <c r="C12" s="4" t="inlineStr">
        <is>
          <t>JAGS_Male_2000</t>
        </is>
      </c>
      <c r="D12" s="5" t="n">
        <v>0.05</v>
      </c>
      <c r="E12" s="4" t="inlineStr">
        <is>
          <t>Variable</t>
        </is>
      </c>
      <c r="F12" s="4" t="inlineStr">
        <is>
          <t>Smoking initiation and cessation variable</t>
        </is>
      </c>
      <c r="G12" s="4" t="inlineStr">
        <is>
          <t>68 - 72</t>
        </is>
      </c>
      <c r="H12" s="4" t="inlineStr">
        <is>
          <t>ALL.T</t>
        </is>
      </c>
      <c r="I12" s="6" t="n">
        <v>681157.816444</v>
      </c>
      <c r="J12" s="7" t="n">
        <v>0.01</v>
      </c>
      <c r="K12" s="7" t="n">
        <v>0.009999999776482582</v>
      </c>
      <c r="L12" s="4" t="inlineStr">
        <is>
          <t>N/A</t>
        </is>
      </c>
      <c r="M12" s="4" t="inlineStr">
        <is>
          <t>N/A</t>
        </is>
      </c>
      <c r="N12" s="4" t="inlineStr">
        <is>
          <t>N/A</t>
        </is>
      </c>
      <c r="O12" s="4" t="inlineStr">
        <is>
          <t>N/A</t>
        </is>
      </c>
      <c r="P12" s="4" t="inlineStr">
        <is>
          <t>N/A</t>
        </is>
      </c>
      <c r="Q12" s="4" t="inlineStr">
        <is>
          <t>N/A</t>
        </is>
      </c>
      <c r="R12" s="8" t="n">
        <v>46254.03570530093</v>
      </c>
      <c r="S12" s="4" t="inlineStr">
        <is>
          <t>3.0.0</t>
        </is>
      </c>
      <c r="T12" s="4" t="inlineStr">
        <is>
          <t>1.8</t>
        </is>
      </c>
    </row>
    <row r="13">
      <c r="A13" s="4" t="inlineStr">
        <is>
          <t>Grizzly XL YO</t>
        </is>
      </c>
      <c r="B13" s="4" t="inlineStr">
        <is>
          <t>Master Model G10 Grizzly XL_TwoAge_5a_6a_14b_15a_B02</t>
        </is>
      </c>
      <c r="C13" s="4" t="inlineStr">
        <is>
          <t>JAGS_Male_2000</t>
        </is>
      </c>
      <c r="D13" s="5" t="n">
        <v>0.1</v>
      </c>
      <c r="E13" s="4" t="inlineStr">
        <is>
          <t>Variable</t>
        </is>
      </c>
      <c r="F13" s="4" t="inlineStr">
        <is>
          <t>Smoking initiation and cessation variable</t>
        </is>
      </c>
      <c r="G13" s="4" t="inlineStr">
        <is>
          <t>68 - 72</t>
        </is>
      </c>
      <c r="H13" s="4" t="inlineStr">
        <is>
          <t>DIFF_ALL</t>
        </is>
      </c>
      <c r="I13" s="6" t="n">
        <v>1908.131148</v>
      </c>
      <c r="J13" s="7" t="n">
        <v>0.01</v>
      </c>
      <c r="K13" s="7" t="n">
        <v>0.009999999776482582</v>
      </c>
      <c r="L13" s="4" t="inlineStr">
        <is>
          <t>N/A</t>
        </is>
      </c>
      <c r="M13" s="4" t="inlineStr">
        <is>
          <t>N/A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N/A</t>
        </is>
      </c>
      <c r="Q13" s="4" t="inlineStr">
        <is>
          <t>N/A</t>
        </is>
      </c>
      <c r="R13" s="8" t="n">
        <v>46254.03570530093</v>
      </c>
      <c r="S13" s="4" t="inlineStr">
        <is>
          <t>3.0.0</t>
        </is>
      </c>
      <c r="T13" s="4" t="inlineStr">
        <is>
          <t>1.8</t>
        </is>
      </c>
    </row>
    <row r="14">
      <c r="A14" s="4" t="inlineStr">
        <is>
          <t>Grizzly XL YO</t>
        </is>
      </c>
      <c r="B14" s="4" t="inlineStr">
        <is>
          <t>Master Model G10 Grizzly XL_TwoAge_5a_6a_14b_15a_B02</t>
        </is>
      </c>
      <c r="C14" s="4" t="inlineStr">
        <is>
          <t>JAGS_Male_2000</t>
        </is>
      </c>
      <c r="D14" s="5" t="n">
        <v>0.1</v>
      </c>
      <c r="E14" s="4" t="inlineStr">
        <is>
          <t>Variable</t>
        </is>
      </c>
      <c r="F14" s="4" t="inlineStr">
        <is>
          <t>Smoking initiation and cessation variable</t>
        </is>
      </c>
      <c r="G14" s="4" t="inlineStr">
        <is>
          <t>68 - 72</t>
        </is>
      </c>
      <c r="H14" s="4" t="inlineStr">
        <is>
          <t>ALL.T</t>
        </is>
      </c>
      <c r="I14" s="6" t="n">
        <v>680673.659795</v>
      </c>
      <c r="J14" s="7" t="n">
        <v>0.01</v>
      </c>
      <c r="K14" s="7" t="n">
        <v>0.009999999776482582</v>
      </c>
      <c r="L14" s="4" t="inlineStr">
        <is>
          <t>N/A</t>
        </is>
      </c>
      <c r="M14" s="4" t="inlineStr">
        <is>
          <t>N/A</t>
        </is>
      </c>
      <c r="N14" s="4" t="inlineStr">
        <is>
          <t>N/A</t>
        </is>
      </c>
      <c r="O14" s="4" t="inlineStr">
        <is>
          <t>N/A</t>
        </is>
      </c>
      <c r="P14" s="4" t="inlineStr">
        <is>
          <t>N/A</t>
        </is>
      </c>
      <c r="Q14" s="4" t="inlineStr">
        <is>
          <t>N/A</t>
        </is>
      </c>
      <c r="R14" s="8" t="n">
        <v>46254.03570530093</v>
      </c>
      <c r="S14" s="4" t="inlineStr">
        <is>
          <t>3.0.0</t>
        </is>
      </c>
      <c r="T14" s="4" t="inlineStr">
        <is>
          <t>1.8</t>
        </is>
      </c>
    </row>
    <row r="15">
      <c r="A15" s="4" t="inlineStr">
        <is>
          <t>Grizzly XL YO</t>
        </is>
      </c>
      <c r="B15" s="4" t="inlineStr">
        <is>
          <t>Master Model G10 Grizzly XL_TwoAge_5a_6a_14b_15a_B02</t>
        </is>
      </c>
      <c r="C15" s="4" t="inlineStr">
        <is>
          <t>JAGS_Female_2000</t>
        </is>
      </c>
      <c r="D15" s="5" t="n">
        <v>0.05</v>
      </c>
      <c r="E15" s="4" t="inlineStr">
        <is>
          <t>Variable</t>
        </is>
      </c>
      <c r="F15" s="4" t="inlineStr">
        <is>
          <t>Smoking initiation and cessation variable</t>
        </is>
      </c>
      <c r="G15" s="4" t="inlineStr">
        <is>
          <t>68 - 72</t>
        </is>
      </c>
      <c r="H15" s="4" t="inlineStr">
        <is>
          <t>DIFF_ALL</t>
        </is>
      </c>
      <c r="I15" s="6" t="n">
        <v>2011.80539</v>
      </c>
      <c r="J15" s="7" t="n">
        <v>0.01</v>
      </c>
      <c r="K15" s="7" t="n">
        <v>0.009999999776482582</v>
      </c>
      <c r="L15" s="4" t="inlineStr">
        <is>
          <t>N/A</t>
        </is>
      </c>
      <c r="M15" s="4" t="inlineStr">
        <is>
          <t>N/A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N/A</t>
        </is>
      </c>
      <c r="Q15" s="4" t="inlineStr">
        <is>
          <t>N/A</t>
        </is>
      </c>
      <c r="R15" s="8" t="n">
        <v>46254.03570530093</v>
      </c>
      <c r="S15" s="4" t="inlineStr">
        <is>
          <t>3.0.0</t>
        </is>
      </c>
      <c r="T15" s="4" t="inlineStr">
        <is>
          <t>1.8</t>
        </is>
      </c>
    </row>
    <row r="16">
      <c r="A16" s="4" t="inlineStr">
        <is>
          <t>Grizzly XL YO</t>
        </is>
      </c>
      <c r="B16" s="4" t="inlineStr">
        <is>
          <t>Master Model G10 Grizzly XL_TwoAge_5a_6a_14b_15a_B02</t>
        </is>
      </c>
      <c r="C16" s="4" t="inlineStr">
        <is>
          <t>JAGS_Female_2000</t>
        </is>
      </c>
      <c r="D16" s="5" t="n">
        <v>0.05</v>
      </c>
      <c r="E16" s="4" t="inlineStr">
        <is>
          <t>Variable</t>
        </is>
      </c>
      <c r="F16" s="4" t="inlineStr">
        <is>
          <t>Smoking initiation and cessation variable</t>
        </is>
      </c>
      <c r="G16" s="4" t="inlineStr">
        <is>
          <t>68 - 72</t>
        </is>
      </c>
      <c r="H16" s="4" t="inlineStr">
        <is>
          <t>ALL.T</t>
        </is>
      </c>
      <c r="I16" s="6" t="n">
        <v>786973.114813</v>
      </c>
      <c r="J16" s="7" t="n">
        <v>0.01</v>
      </c>
      <c r="K16" s="7" t="n">
        <v>0.009999999776482582</v>
      </c>
      <c r="L16" s="4" t="inlineStr">
        <is>
          <t>N/A</t>
        </is>
      </c>
      <c r="M16" s="4" t="inlineStr">
        <is>
          <t>N/A</t>
        </is>
      </c>
      <c r="N16" s="4" t="inlineStr">
        <is>
          <t>N/A</t>
        </is>
      </c>
      <c r="O16" s="4" t="inlineStr">
        <is>
          <t>N/A</t>
        </is>
      </c>
      <c r="P16" s="4" t="inlineStr">
        <is>
          <t>N/A</t>
        </is>
      </c>
      <c r="Q16" s="4" t="inlineStr">
        <is>
          <t>N/A</t>
        </is>
      </c>
      <c r="R16" s="8" t="n">
        <v>46254.03570530093</v>
      </c>
      <c r="S16" s="4" t="inlineStr">
        <is>
          <t>3.0.0</t>
        </is>
      </c>
      <c r="T16" s="4" t="inlineStr">
        <is>
          <t>1.8</t>
        </is>
      </c>
    </row>
    <row r="17">
      <c r="A17" s="4" t="inlineStr">
        <is>
          <t>Grizzly XL YO</t>
        </is>
      </c>
      <c r="B17" s="4" t="inlineStr">
        <is>
          <t>Master Model G10 Grizzly XL_TwoAge_5a_6a_14b_15a_B02</t>
        </is>
      </c>
      <c r="C17" s="4" t="inlineStr">
        <is>
          <t>JAGS_Female_2000</t>
        </is>
      </c>
      <c r="D17" s="5" t="n">
        <v>0.1</v>
      </c>
      <c r="E17" s="4" t="inlineStr">
        <is>
          <t>Variable</t>
        </is>
      </c>
      <c r="F17" s="4" t="inlineStr">
        <is>
          <t>Smoking initiation and cessation variable</t>
        </is>
      </c>
      <c r="G17" s="4" t="inlineStr">
        <is>
          <t>68 - 72</t>
        </is>
      </c>
      <c r="H17" s="4" t="inlineStr">
        <is>
          <t>DIFF_ALL</t>
        </is>
      </c>
      <c r="I17" s="6" t="n">
        <v>1622.33074</v>
      </c>
      <c r="J17" s="7" t="n">
        <v>0.01</v>
      </c>
      <c r="K17" s="7" t="n">
        <v>0.009999999776482582</v>
      </c>
      <c r="L17" s="4" t="inlineStr">
        <is>
          <t>N/A</t>
        </is>
      </c>
      <c r="M17" s="4" t="inlineStr">
        <is>
          <t>N/A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N/A</t>
        </is>
      </c>
      <c r="Q17" s="4" t="inlineStr">
        <is>
          <t>N/A</t>
        </is>
      </c>
      <c r="R17" s="8" t="n">
        <v>46254.03570530093</v>
      </c>
      <c r="S17" s="4" t="inlineStr">
        <is>
          <t>3.0.0</t>
        </is>
      </c>
      <c r="T17" s="4" t="inlineStr">
        <is>
          <t>1.8</t>
        </is>
      </c>
    </row>
    <row r="18">
      <c r="A18" s="4" t="inlineStr">
        <is>
          <t>Grizzly XL YO</t>
        </is>
      </c>
      <c r="B18" s="4" t="inlineStr">
        <is>
          <t>Master Model G10 Grizzly XL_TwoAge_5a_6a_14b_15a_B02</t>
        </is>
      </c>
      <c r="C18" s="4" t="inlineStr">
        <is>
          <t>JAGS_Female_2000</t>
        </is>
      </c>
      <c r="D18" s="5" t="n">
        <v>0.1</v>
      </c>
      <c r="E18" s="4" t="inlineStr">
        <is>
          <t>Variable</t>
        </is>
      </c>
      <c r="F18" s="4" t="inlineStr">
        <is>
          <t>Smoking initiation and cessation variable</t>
        </is>
      </c>
      <c r="G18" s="4" t="inlineStr">
        <is>
          <t>68 - 72</t>
        </is>
      </c>
      <c r="H18" s="4" t="inlineStr">
        <is>
          <t>ALL.T</t>
        </is>
      </c>
      <c r="I18" s="6" t="n">
        <v>786583.640164</v>
      </c>
      <c r="J18" s="7" t="n">
        <v>0.01</v>
      </c>
      <c r="K18" s="7" t="n">
        <v>0.009999999776482582</v>
      </c>
      <c r="L18" s="4" t="inlineStr">
        <is>
          <t>N/A</t>
        </is>
      </c>
      <c r="M18" s="4" t="inlineStr">
        <is>
          <t>N/A</t>
        </is>
      </c>
      <c r="N18" s="4" t="inlineStr">
        <is>
          <t>N/A</t>
        </is>
      </c>
      <c r="O18" s="4" t="inlineStr">
        <is>
          <t>N/A</t>
        </is>
      </c>
      <c r="P18" s="4" t="inlineStr">
        <is>
          <t>N/A</t>
        </is>
      </c>
      <c r="Q18" s="4" t="inlineStr">
        <is>
          <t>N/A</t>
        </is>
      </c>
      <c r="R18" s="8" t="n">
        <v>46254.03570530093</v>
      </c>
      <c r="S18" s="4" t="inlineStr">
        <is>
          <t>3.0.0</t>
        </is>
      </c>
      <c r="T18" s="4" t="inlineStr">
        <is>
          <t>1.8</t>
        </is>
      </c>
    </row>
    <row r="19">
      <c r="A19" s="4" t="inlineStr">
        <is>
          <t>Grizzly XL YO</t>
        </is>
      </c>
      <c r="B19" s="4" t="inlineStr">
        <is>
          <t>Master Model G10 Grizzly XL_TwoAge_5a_6a_14b_15a_B03</t>
        </is>
      </c>
      <c r="C19" s="4" t="inlineStr">
        <is>
          <t>JAGS_Male_2000</t>
        </is>
      </c>
      <c r="D19" s="5" t="n">
        <v>0.05</v>
      </c>
      <c r="E19" s="4" t="inlineStr">
        <is>
          <t>Variable</t>
        </is>
      </c>
      <c r="F19" s="4" t="inlineStr">
        <is>
          <t>Smoking initiation and cessation variable</t>
        </is>
      </c>
      <c r="G19" s="4" t="inlineStr">
        <is>
          <t>68 - 72</t>
        </is>
      </c>
      <c r="H19" s="4" t="inlineStr">
        <is>
          <t>DIFF_ALL</t>
        </is>
      </c>
      <c r="I19" s="6" t="n">
        <v>1589.754004</v>
      </c>
      <c r="J19" s="7" t="n">
        <v>0.01</v>
      </c>
      <c r="K19" s="7" t="n">
        <v>0.009999999776482582</v>
      </c>
      <c r="L19" s="4" t="inlineStr">
        <is>
          <t>N/A</t>
        </is>
      </c>
      <c r="M19" s="4" t="inlineStr">
        <is>
          <t>N/A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N/A</t>
        </is>
      </c>
      <c r="Q19" s="4" t="inlineStr">
        <is>
          <t>N/A</t>
        </is>
      </c>
      <c r="R19" s="8" t="n">
        <v>46254.03570530093</v>
      </c>
      <c r="S19" s="4" t="inlineStr">
        <is>
          <t>3.0.0</t>
        </is>
      </c>
      <c r="T19" s="4" t="inlineStr">
        <is>
          <t>1.8</t>
        </is>
      </c>
    </row>
    <row r="20">
      <c r="A20" s="4" t="inlineStr">
        <is>
          <t>Grizzly XL YO</t>
        </is>
      </c>
      <c r="B20" s="4" t="inlineStr">
        <is>
          <t>Master Model G10 Grizzly XL_TwoAge_5a_6a_14b_15a_B03</t>
        </is>
      </c>
      <c r="C20" s="4" t="inlineStr">
        <is>
          <t>JAGS_Male_2000</t>
        </is>
      </c>
      <c r="D20" s="5" t="n">
        <v>0.05</v>
      </c>
      <c r="E20" s="4" t="inlineStr">
        <is>
          <t>Variable</t>
        </is>
      </c>
      <c r="F20" s="4" t="inlineStr">
        <is>
          <t>Smoking initiation and cessation variable</t>
        </is>
      </c>
      <c r="G20" s="4" t="inlineStr">
        <is>
          <t>68 - 72</t>
        </is>
      </c>
      <c r="H20" s="4" t="inlineStr">
        <is>
          <t>ALL.T</t>
        </is>
      </c>
      <c r="I20" s="6" t="n">
        <v>680355.28265</v>
      </c>
      <c r="J20" s="7" t="n">
        <v>0.01</v>
      </c>
      <c r="K20" s="7" t="n">
        <v>0.009999999776482582</v>
      </c>
      <c r="L20" s="4" t="inlineStr">
        <is>
          <t>N/A</t>
        </is>
      </c>
      <c r="M20" s="4" t="inlineStr">
        <is>
          <t>N/A</t>
        </is>
      </c>
      <c r="N20" s="4" t="inlineStr">
        <is>
          <t>N/A</t>
        </is>
      </c>
      <c r="O20" s="4" t="inlineStr">
        <is>
          <t>N/A</t>
        </is>
      </c>
      <c r="P20" s="4" t="inlineStr">
        <is>
          <t>N/A</t>
        </is>
      </c>
      <c r="Q20" s="4" t="inlineStr">
        <is>
          <t>N/A</t>
        </is>
      </c>
      <c r="R20" s="8" t="n">
        <v>46254.03570530093</v>
      </c>
      <c r="S20" s="4" t="inlineStr">
        <is>
          <t>3.0.0</t>
        </is>
      </c>
      <c r="T20" s="4" t="inlineStr">
        <is>
          <t>1.8</t>
        </is>
      </c>
    </row>
    <row r="21">
      <c r="A21" s="4" t="inlineStr">
        <is>
          <t>Grizzly XL YO</t>
        </is>
      </c>
      <c r="B21" s="4" t="inlineStr">
        <is>
          <t>Master Model G10 Grizzly XL_TwoAge_5a_6a_14b_15a_B03</t>
        </is>
      </c>
      <c r="C21" s="4" t="inlineStr">
        <is>
          <t>JAGS_Male_2000</t>
        </is>
      </c>
      <c r="D21" s="5" t="n">
        <v>0.1</v>
      </c>
      <c r="E21" s="4" t="inlineStr">
        <is>
          <t>Variable</t>
        </is>
      </c>
      <c r="F21" s="4" t="inlineStr">
        <is>
          <t>Smoking initiation and cessation variable</t>
        </is>
      </c>
      <c r="G21" s="4" t="inlineStr">
        <is>
          <t>68 - 72</t>
        </is>
      </c>
      <c r="H21" s="4" t="inlineStr">
        <is>
          <t>DIFF_ALL</t>
        </is>
      </c>
      <c r="I21" s="6" t="n">
        <v>1337.231984</v>
      </c>
      <c r="J21" s="7" t="n">
        <v>0.01</v>
      </c>
      <c r="K21" s="7" t="n">
        <v>0.009999999776482582</v>
      </c>
      <c r="L21" s="4" t="inlineStr">
        <is>
          <t>N/A</t>
        </is>
      </c>
      <c r="M21" s="4" t="inlineStr">
        <is>
          <t>N/A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N/A</t>
        </is>
      </c>
      <c r="Q21" s="4" t="inlineStr">
        <is>
          <t>N/A</t>
        </is>
      </c>
      <c r="R21" s="8" t="n">
        <v>46254.03570530093</v>
      </c>
      <c r="S21" s="4" t="inlineStr">
        <is>
          <t>3.0.0</t>
        </is>
      </c>
      <c r="T21" s="4" t="inlineStr">
        <is>
          <t>1.8</t>
        </is>
      </c>
    </row>
    <row r="22">
      <c r="A22" s="4" t="inlineStr">
        <is>
          <t>Grizzly XL YO</t>
        </is>
      </c>
      <c r="B22" s="4" t="inlineStr">
        <is>
          <t>Master Model G10 Grizzly XL_TwoAge_5a_6a_14b_15a_B03</t>
        </is>
      </c>
      <c r="C22" s="4" t="inlineStr">
        <is>
          <t>JAGS_Male_2000</t>
        </is>
      </c>
      <c r="D22" s="5" t="n">
        <v>0.1</v>
      </c>
      <c r="E22" s="4" t="inlineStr">
        <is>
          <t>Variable</t>
        </is>
      </c>
      <c r="F22" s="4" t="inlineStr">
        <is>
          <t>Smoking initiation and cessation variable</t>
        </is>
      </c>
      <c r="G22" s="4" t="inlineStr">
        <is>
          <t>68 - 72</t>
        </is>
      </c>
      <c r="H22" s="4" t="inlineStr">
        <is>
          <t>ALL.T</t>
        </is>
      </c>
      <c r="I22" s="6" t="n">
        <v>680102.76063</v>
      </c>
      <c r="J22" s="7" t="n">
        <v>0.01</v>
      </c>
      <c r="K22" s="7" t="n">
        <v>0.009999999776482582</v>
      </c>
      <c r="L22" s="4" t="inlineStr">
        <is>
          <t>N/A</t>
        </is>
      </c>
      <c r="M22" s="4" t="inlineStr">
        <is>
          <t>N/A</t>
        </is>
      </c>
      <c r="N22" s="4" t="inlineStr">
        <is>
          <t>N/A</t>
        </is>
      </c>
      <c r="O22" s="4" t="inlineStr">
        <is>
          <t>N/A</t>
        </is>
      </c>
      <c r="P22" s="4" t="inlineStr">
        <is>
          <t>N/A</t>
        </is>
      </c>
      <c r="Q22" s="4" t="inlineStr">
        <is>
          <t>N/A</t>
        </is>
      </c>
      <c r="R22" s="8" t="n">
        <v>46254.03570530093</v>
      </c>
      <c r="S22" s="4" t="inlineStr">
        <is>
          <t>3.0.0</t>
        </is>
      </c>
      <c r="T22" s="4" t="inlineStr">
        <is>
          <t>1.8</t>
        </is>
      </c>
    </row>
    <row r="23">
      <c r="A23" s="4" t="inlineStr">
        <is>
          <t>Grizzly XL YO</t>
        </is>
      </c>
      <c r="B23" s="4" t="inlineStr">
        <is>
          <t>Master Model G10 Grizzly XL_TwoAge_5a_6a_14b_15a_B03</t>
        </is>
      </c>
      <c r="C23" s="4" t="inlineStr">
        <is>
          <t>JAGS_Female_2000</t>
        </is>
      </c>
      <c r="D23" s="5" t="n">
        <v>0.05</v>
      </c>
      <c r="E23" s="4" t="inlineStr">
        <is>
          <t>Variable</t>
        </is>
      </c>
      <c r="F23" s="4" t="inlineStr">
        <is>
          <t>Smoking initiation and cessation variable</t>
        </is>
      </c>
      <c r="G23" s="4" t="inlineStr">
        <is>
          <t>68 - 72</t>
        </is>
      </c>
      <c r="H23" s="4" t="inlineStr">
        <is>
          <t>DIFF_ALL</t>
        </is>
      </c>
      <c r="I23" s="6" t="n">
        <v>1279.388814</v>
      </c>
      <c r="J23" s="7" t="n">
        <v>0.01</v>
      </c>
      <c r="K23" s="7" t="n">
        <v>0.009999999776482582</v>
      </c>
      <c r="L23" s="4" t="inlineStr">
        <is>
          <t>N/A</t>
        </is>
      </c>
      <c r="M23" s="4" t="inlineStr">
        <is>
          <t>N/A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N/A</t>
        </is>
      </c>
      <c r="Q23" s="4" t="inlineStr">
        <is>
          <t>N/A</t>
        </is>
      </c>
      <c r="R23" s="8" t="n">
        <v>46254.0357053125</v>
      </c>
      <c r="S23" s="4" t="inlineStr">
        <is>
          <t>3.0.0</t>
        </is>
      </c>
      <c r="T23" s="4" t="inlineStr">
        <is>
          <t>1.8</t>
        </is>
      </c>
    </row>
    <row r="24">
      <c r="A24" s="4" t="inlineStr">
        <is>
          <t>Grizzly XL YO</t>
        </is>
      </c>
      <c r="B24" s="4" t="inlineStr">
        <is>
          <t>Master Model G10 Grizzly XL_TwoAge_5a_6a_14b_15a_B03</t>
        </is>
      </c>
      <c r="C24" s="4" t="inlineStr">
        <is>
          <t>JAGS_Female_2000</t>
        </is>
      </c>
      <c r="D24" s="5" t="n">
        <v>0.05</v>
      </c>
      <c r="E24" s="4" t="inlineStr">
        <is>
          <t>Variable</t>
        </is>
      </c>
      <c r="F24" s="4" t="inlineStr">
        <is>
          <t>Smoking initiation and cessation variable</t>
        </is>
      </c>
      <c r="G24" s="4" t="inlineStr">
        <is>
          <t>68 - 72</t>
        </is>
      </c>
      <c r="H24" s="4" t="inlineStr">
        <is>
          <t>ALL.T</t>
        </is>
      </c>
      <c r="I24" s="6" t="n">
        <v>786240.698238</v>
      </c>
      <c r="J24" s="7" t="n">
        <v>0.01</v>
      </c>
      <c r="K24" s="7" t="n">
        <v>0.009999999776482582</v>
      </c>
      <c r="L24" s="4" t="inlineStr">
        <is>
          <t>N/A</t>
        </is>
      </c>
      <c r="M24" s="4" t="inlineStr">
        <is>
          <t>N/A</t>
        </is>
      </c>
      <c r="N24" s="4" t="inlineStr">
        <is>
          <t>N/A</t>
        </is>
      </c>
      <c r="O24" s="4" t="inlineStr">
        <is>
          <t>N/A</t>
        </is>
      </c>
      <c r="P24" s="4" t="inlineStr">
        <is>
          <t>N/A</t>
        </is>
      </c>
      <c r="Q24" s="4" t="inlineStr">
        <is>
          <t>N/A</t>
        </is>
      </c>
      <c r="R24" s="8" t="n">
        <v>46254.0357053125</v>
      </c>
      <c r="S24" s="4" t="inlineStr">
        <is>
          <t>3.0.0</t>
        </is>
      </c>
      <c r="T24" s="4" t="inlineStr">
        <is>
          <t>1.8</t>
        </is>
      </c>
    </row>
    <row r="25">
      <c r="A25" s="4" t="inlineStr">
        <is>
          <t>Grizzly XL YO</t>
        </is>
      </c>
      <c r="B25" s="4" t="inlineStr">
        <is>
          <t>Master Model G10 Grizzly XL_TwoAge_5a_6a_14b_15a_B03</t>
        </is>
      </c>
      <c r="C25" s="4" t="inlineStr">
        <is>
          <t>JAGS_Female_2000</t>
        </is>
      </c>
      <c r="D25" s="5" t="n">
        <v>0.1</v>
      </c>
      <c r="E25" s="4" t="inlineStr">
        <is>
          <t>Variable</t>
        </is>
      </c>
      <c r="F25" s="4" t="inlineStr">
        <is>
          <t>Smoking initiation and cessation variable</t>
        </is>
      </c>
      <c r="G25" s="4" t="inlineStr">
        <is>
          <t>68 - 72</t>
        </is>
      </c>
      <c r="H25" s="4" t="inlineStr">
        <is>
          <t>DIFF_ALL</t>
        </is>
      </c>
      <c r="I25" s="6" t="n">
        <v>1080.454799</v>
      </c>
      <c r="J25" s="7" t="n">
        <v>0.01</v>
      </c>
      <c r="K25" s="7" t="n">
        <v>0.009999999776482582</v>
      </c>
      <c r="L25" s="4" t="inlineStr">
        <is>
          <t>N/A</t>
        </is>
      </c>
      <c r="M25" s="4" t="inlineStr">
        <is>
          <t>N/A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N/A</t>
        </is>
      </c>
      <c r="Q25" s="4" t="inlineStr">
        <is>
          <t>N/A</t>
        </is>
      </c>
      <c r="R25" s="8" t="n">
        <v>46254.0357053125</v>
      </c>
      <c r="S25" s="4" t="inlineStr">
        <is>
          <t>3.0.0</t>
        </is>
      </c>
      <c r="T25" s="4" t="inlineStr">
        <is>
          <t>1.8</t>
        </is>
      </c>
    </row>
    <row r="26">
      <c r="A26" s="4" t="inlineStr">
        <is>
          <t>Grizzly XL YO</t>
        </is>
      </c>
      <c r="B26" s="4" t="inlineStr">
        <is>
          <t>Master Model G10 Grizzly XL_TwoAge_5a_6a_14b_15a_B03</t>
        </is>
      </c>
      <c r="C26" s="4" t="inlineStr">
        <is>
          <t>JAGS_Female_2000</t>
        </is>
      </c>
      <c r="D26" s="5" t="n">
        <v>0.1</v>
      </c>
      <c r="E26" s="4" t="inlineStr">
        <is>
          <t>Variable</t>
        </is>
      </c>
      <c r="F26" s="4" t="inlineStr">
        <is>
          <t>Smoking initiation and cessation variable</t>
        </is>
      </c>
      <c r="G26" s="4" t="inlineStr">
        <is>
          <t>68 - 72</t>
        </is>
      </c>
      <c r="H26" s="4" t="inlineStr">
        <is>
          <t>ALL.T</t>
        </is>
      </c>
      <c r="I26" s="6" t="n">
        <v>786041.764222</v>
      </c>
      <c r="J26" s="7" t="n">
        <v>0.01</v>
      </c>
      <c r="K26" s="7" t="n">
        <v>0.009999999776482582</v>
      </c>
      <c r="L26" s="4" t="inlineStr">
        <is>
          <t>N/A</t>
        </is>
      </c>
      <c r="M26" s="4" t="inlineStr">
        <is>
          <t>N/A</t>
        </is>
      </c>
      <c r="N26" s="4" t="inlineStr">
        <is>
          <t>N/A</t>
        </is>
      </c>
      <c r="O26" s="4" t="inlineStr">
        <is>
          <t>N/A</t>
        </is>
      </c>
      <c r="P26" s="4" t="inlineStr">
        <is>
          <t>N/A</t>
        </is>
      </c>
      <c r="Q26" s="4" t="inlineStr">
        <is>
          <t>N/A</t>
        </is>
      </c>
      <c r="R26" s="8" t="n">
        <v>46254.0357053125</v>
      </c>
      <c r="S26" s="4" t="inlineStr">
        <is>
          <t>3.0.0</t>
        </is>
      </c>
      <c r="T26" s="4" t="inlineStr">
        <is>
          <t>1.8</t>
        </is>
      </c>
    </row>
    <row r="27">
      <c r="A27" s="4" t="inlineStr">
        <is>
          <t>Grizzly XL YO</t>
        </is>
      </c>
      <c r="B27" s="4" t="inlineStr">
        <is>
          <t>Master Model G10 Grizzly XL_TwoAge_5a_6a_14b_15a_B04</t>
        </is>
      </c>
      <c r="C27" s="4" t="inlineStr">
        <is>
          <t>JAGS_Male_2000</t>
        </is>
      </c>
      <c r="D27" s="5" t="n">
        <v>0.05</v>
      </c>
      <c r="E27" s="4" t="inlineStr">
        <is>
          <t>Variable</t>
        </is>
      </c>
      <c r="F27" s="4" t="inlineStr">
        <is>
          <t>Smoking initiation and cessation variable</t>
        </is>
      </c>
      <c r="G27" s="4" t="inlineStr">
        <is>
          <t>68 - 72</t>
        </is>
      </c>
      <c r="H27" s="4" t="inlineStr">
        <is>
          <t>DIFF_ALL</t>
        </is>
      </c>
      <c r="I27" s="6" t="n">
        <v>1051.832676</v>
      </c>
      <c r="J27" s="7" t="n">
        <v>0.01</v>
      </c>
      <c r="K27" s="7" t="n">
        <v>0.009999999776482582</v>
      </c>
      <c r="L27" s="4" t="inlineStr">
        <is>
          <t>N/A</t>
        </is>
      </c>
      <c r="M27" s="4" t="inlineStr">
        <is>
          <t>N/A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N/A</t>
        </is>
      </c>
      <c r="Q27" s="4" t="inlineStr">
        <is>
          <t>N/A</t>
        </is>
      </c>
      <c r="R27" s="8" t="n">
        <v>46254.0357053125</v>
      </c>
      <c r="S27" s="4" t="inlineStr">
        <is>
          <t>3.0.0</t>
        </is>
      </c>
      <c r="T27" s="4" t="inlineStr">
        <is>
          <t>1.8</t>
        </is>
      </c>
    </row>
    <row r="28">
      <c r="A28" s="4" t="inlineStr">
        <is>
          <t>Grizzly XL YO</t>
        </is>
      </c>
      <c r="B28" s="4" t="inlineStr">
        <is>
          <t>Master Model G10 Grizzly XL_TwoAge_5a_6a_14b_15a_B04</t>
        </is>
      </c>
      <c r="C28" s="4" t="inlineStr">
        <is>
          <t>JAGS_Male_2000</t>
        </is>
      </c>
      <c r="D28" s="5" t="n">
        <v>0.05</v>
      </c>
      <c r="E28" s="4" t="inlineStr">
        <is>
          <t>Variable</t>
        </is>
      </c>
      <c r="F28" s="4" t="inlineStr">
        <is>
          <t>Smoking initiation and cessation variable</t>
        </is>
      </c>
      <c r="G28" s="4" t="inlineStr">
        <is>
          <t>68 - 72</t>
        </is>
      </c>
      <c r="H28" s="4" t="inlineStr">
        <is>
          <t>ALL.T</t>
        </is>
      </c>
      <c r="I28" s="6" t="n">
        <v>679817.361322</v>
      </c>
      <c r="J28" s="7" t="n">
        <v>0.01</v>
      </c>
      <c r="K28" s="7" t="n">
        <v>0.009999999776482582</v>
      </c>
      <c r="L28" s="4" t="inlineStr">
        <is>
          <t>N/A</t>
        </is>
      </c>
      <c r="M28" s="4" t="inlineStr">
        <is>
          <t>N/A</t>
        </is>
      </c>
      <c r="N28" s="4" t="inlineStr">
        <is>
          <t>N/A</t>
        </is>
      </c>
      <c r="O28" s="4" t="inlineStr">
        <is>
          <t>N/A</t>
        </is>
      </c>
      <c r="P28" s="4" t="inlineStr">
        <is>
          <t>N/A</t>
        </is>
      </c>
      <c r="Q28" s="4" t="inlineStr">
        <is>
          <t>N/A</t>
        </is>
      </c>
      <c r="R28" s="8" t="n">
        <v>46254.0357053125</v>
      </c>
      <c r="S28" s="4" t="inlineStr">
        <is>
          <t>3.0.0</t>
        </is>
      </c>
      <c r="T28" s="4" t="inlineStr">
        <is>
          <t>1.8</t>
        </is>
      </c>
    </row>
    <row r="29">
      <c r="A29" s="4" t="inlineStr">
        <is>
          <t>Grizzly XL YO</t>
        </is>
      </c>
      <c r="B29" s="4" t="inlineStr">
        <is>
          <t>Master Model G10 Grizzly XL_TwoAge_5a_6a_14b_15a_B04</t>
        </is>
      </c>
      <c r="C29" s="4" t="inlineStr">
        <is>
          <t>JAGS_Male_2000</t>
        </is>
      </c>
      <c r="D29" s="5" t="n">
        <v>0.1</v>
      </c>
      <c r="E29" s="4" t="inlineStr">
        <is>
          <t>Variable</t>
        </is>
      </c>
      <c r="F29" s="4" t="inlineStr">
        <is>
          <t>Smoking initiation and cessation variable</t>
        </is>
      </c>
      <c r="G29" s="4" t="inlineStr">
        <is>
          <t>68 - 72</t>
        </is>
      </c>
      <c r="H29" s="4" t="inlineStr">
        <is>
          <t>DIFF_ALL</t>
        </is>
      </c>
      <c r="I29" s="6" t="n">
        <v>947.771263</v>
      </c>
      <c r="J29" s="7" t="n">
        <v>0.01</v>
      </c>
      <c r="K29" s="7" t="n">
        <v>0.009999999776482582</v>
      </c>
      <c r="L29" s="4" t="inlineStr">
        <is>
          <t>N/A</t>
        </is>
      </c>
      <c r="M29" s="4" t="inlineStr">
        <is>
          <t>N/A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N/A</t>
        </is>
      </c>
      <c r="Q29" s="4" t="inlineStr">
        <is>
          <t>N/A</t>
        </is>
      </c>
      <c r="R29" s="8" t="n">
        <v>46254.0357053125</v>
      </c>
      <c r="S29" s="4" t="inlineStr">
        <is>
          <t>3.0.0</t>
        </is>
      </c>
      <c r="T29" s="4" t="inlineStr">
        <is>
          <t>1.8</t>
        </is>
      </c>
    </row>
    <row r="30">
      <c r="A30" s="4" t="inlineStr">
        <is>
          <t>Grizzly XL YO</t>
        </is>
      </c>
      <c r="B30" s="4" t="inlineStr">
        <is>
          <t>Master Model G10 Grizzly XL_TwoAge_5a_6a_14b_15a_B04</t>
        </is>
      </c>
      <c r="C30" s="4" t="inlineStr">
        <is>
          <t>JAGS_Male_2000</t>
        </is>
      </c>
      <c r="D30" s="5" t="n">
        <v>0.1</v>
      </c>
      <c r="E30" s="4" t="inlineStr">
        <is>
          <t>Variable</t>
        </is>
      </c>
      <c r="F30" s="4" t="inlineStr">
        <is>
          <t>Smoking initiation and cessation variable</t>
        </is>
      </c>
      <c r="G30" s="4" t="inlineStr">
        <is>
          <t>68 - 72</t>
        </is>
      </c>
      <c r="H30" s="4" t="inlineStr">
        <is>
          <t>ALL.T</t>
        </is>
      </c>
      <c r="I30" s="6" t="n">
        <v>679713.2999099999</v>
      </c>
      <c r="J30" s="7" t="n">
        <v>0.01</v>
      </c>
      <c r="K30" s="7" t="n">
        <v>0.009999999776482582</v>
      </c>
      <c r="L30" s="4" t="inlineStr">
        <is>
          <t>N/A</t>
        </is>
      </c>
      <c r="M30" s="4" t="inlineStr">
        <is>
          <t>N/A</t>
        </is>
      </c>
      <c r="N30" s="4" t="inlineStr">
        <is>
          <t>N/A</t>
        </is>
      </c>
      <c r="O30" s="4" t="inlineStr">
        <is>
          <t>N/A</t>
        </is>
      </c>
      <c r="P30" s="4" t="inlineStr">
        <is>
          <t>N/A</t>
        </is>
      </c>
      <c r="Q30" s="4" t="inlineStr">
        <is>
          <t>N/A</t>
        </is>
      </c>
      <c r="R30" s="8" t="n">
        <v>46254.0357053125</v>
      </c>
      <c r="S30" s="4" t="inlineStr">
        <is>
          <t>3.0.0</t>
        </is>
      </c>
      <c r="T30" s="4" t="inlineStr">
        <is>
          <t>1.8</t>
        </is>
      </c>
    </row>
    <row r="31">
      <c r="A31" s="4" t="inlineStr">
        <is>
          <t>Grizzly XL YO</t>
        </is>
      </c>
      <c r="B31" s="4" t="inlineStr">
        <is>
          <t>Master Model G10 Grizzly XL_TwoAge_5a_6a_14b_15a_B04</t>
        </is>
      </c>
      <c r="C31" s="4" t="inlineStr">
        <is>
          <t>JAGS_Female_2000</t>
        </is>
      </c>
      <c r="D31" s="5" t="n">
        <v>0.05</v>
      </c>
      <c r="E31" s="4" t="inlineStr">
        <is>
          <t>Variable</t>
        </is>
      </c>
      <c r="F31" s="4" t="inlineStr">
        <is>
          <t>Smoking initiation and cessation variable</t>
        </is>
      </c>
      <c r="G31" s="4" t="inlineStr">
        <is>
          <t>68 - 72</t>
        </is>
      </c>
      <c r="H31" s="4" t="inlineStr">
        <is>
          <t>DIFF_ALL</t>
        </is>
      </c>
      <c r="I31" s="6" t="n">
        <v>852.747891</v>
      </c>
      <c r="J31" s="7" t="n">
        <v>0.01</v>
      </c>
      <c r="K31" s="7" t="n">
        <v>0.009999999776482582</v>
      </c>
      <c r="L31" s="4" t="inlineStr">
        <is>
          <t>N/A</t>
        </is>
      </c>
      <c r="M31" s="4" t="inlineStr">
        <is>
          <t>N/A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N/A</t>
        </is>
      </c>
      <c r="Q31" s="4" t="inlineStr">
        <is>
          <t>N/A</t>
        </is>
      </c>
      <c r="R31" s="8" t="n">
        <v>46254.0357053125</v>
      </c>
      <c r="S31" s="4" t="inlineStr">
        <is>
          <t>3.0.0</t>
        </is>
      </c>
      <c r="T31" s="4" t="inlineStr">
        <is>
          <t>1.8</t>
        </is>
      </c>
    </row>
    <row r="32">
      <c r="A32" s="4" t="inlineStr">
        <is>
          <t>Grizzly XL YO</t>
        </is>
      </c>
      <c r="B32" s="4" t="inlineStr">
        <is>
          <t>Master Model G10 Grizzly XL_TwoAge_5a_6a_14b_15a_B04</t>
        </is>
      </c>
      <c r="C32" s="4" t="inlineStr">
        <is>
          <t>JAGS_Female_2000</t>
        </is>
      </c>
      <c r="D32" s="5" t="n">
        <v>0.05</v>
      </c>
      <c r="E32" s="4" t="inlineStr">
        <is>
          <t>Variable</t>
        </is>
      </c>
      <c r="F32" s="4" t="inlineStr">
        <is>
          <t>Smoking initiation and cessation variable</t>
        </is>
      </c>
      <c r="G32" s="4" t="inlineStr">
        <is>
          <t>68 - 72</t>
        </is>
      </c>
      <c r="H32" s="4" t="inlineStr">
        <is>
          <t>ALL.T</t>
        </is>
      </c>
      <c r="I32" s="6" t="n">
        <v>785814.057315</v>
      </c>
      <c r="J32" s="7" t="n">
        <v>0.01</v>
      </c>
      <c r="K32" s="7" t="n">
        <v>0.009999999776482582</v>
      </c>
      <c r="L32" s="4" t="inlineStr">
        <is>
          <t>N/A</t>
        </is>
      </c>
      <c r="M32" s="4" t="inlineStr">
        <is>
          <t>N/A</t>
        </is>
      </c>
      <c r="N32" s="4" t="inlineStr">
        <is>
          <t>N/A</t>
        </is>
      </c>
      <c r="O32" s="4" t="inlineStr">
        <is>
          <t>N/A</t>
        </is>
      </c>
      <c r="P32" s="4" t="inlineStr">
        <is>
          <t>N/A</t>
        </is>
      </c>
      <c r="Q32" s="4" t="inlineStr">
        <is>
          <t>N/A</t>
        </is>
      </c>
      <c r="R32" s="8" t="n">
        <v>46254.0357053125</v>
      </c>
      <c r="S32" s="4" t="inlineStr">
        <is>
          <t>3.0.0</t>
        </is>
      </c>
      <c r="T32" s="4" t="inlineStr">
        <is>
          <t>1.8</t>
        </is>
      </c>
    </row>
    <row r="33">
      <c r="A33" s="4" t="inlineStr">
        <is>
          <t>Grizzly XL YO</t>
        </is>
      </c>
      <c r="B33" s="4" t="inlineStr">
        <is>
          <t>Master Model G10 Grizzly XL_TwoAge_5a_6a_14b_15a_B04</t>
        </is>
      </c>
      <c r="C33" s="4" t="inlineStr">
        <is>
          <t>JAGS_Female_2000</t>
        </is>
      </c>
      <c r="D33" s="5" t="n">
        <v>0.1</v>
      </c>
      <c r="E33" s="4" t="inlineStr">
        <is>
          <t>Variable</t>
        </is>
      </c>
      <c r="F33" s="4" t="inlineStr">
        <is>
          <t>Smoking initiation and cessation variable</t>
        </is>
      </c>
      <c r="G33" s="4" t="inlineStr">
        <is>
          <t>68 - 72</t>
        </is>
      </c>
      <c r="H33" s="4" t="inlineStr">
        <is>
          <t>DIFF_ALL</t>
        </is>
      </c>
      <c r="I33" s="6" t="n">
        <v>771.519911</v>
      </c>
      <c r="J33" s="7" t="n">
        <v>0.01</v>
      </c>
      <c r="K33" s="7" t="n">
        <v>0.009999999776482582</v>
      </c>
      <c r="L33" s="4" t="inlineStr">
        <is>
          <t>N/A</t>
        </is>
      </c>
      <c r="M33" s="4" t="inlineStr">
        <is>
          <t>N/A</t>
        </is>
      </c>
      <c r="N33" s="4" t="inlineStr">
        <is>
          <t>N/A</t>
        </is>
      </c>
      <c r="O33" s="4" t="inlineStr">
        <is>
          <t>N/A</t>
        </is>
      </c>
      <c r="P33" s="4" t="inlineStr">
        <is>
          <t>N/A</t>
        </is>
      </c>
      <c r="Q33" s="4" t="inlineStr">
        <is>
          <t>N/A</t>
        </is>
      </c>
      <c r="R33" s="8" t="n">
        <v>46254.0357053125</v>
      </c>
      <c r="S33" s="4" t="inlineStr">
        <is>
          <t>3.0.0</t>
        </is>
      </c>
      <c r="T33" s="4" t="inlineStr">
        <is>
          <t>1.8</t>
        </is>
      </c>
    </row>
    <row r="34">
      <c r="A34" s="4" t="inlineStr">
        <is>
          <t>Grizzly XL YO</t>
        </is>
      </c>
      <c r="B34" s="4" t="inlineStr">
        <is>
          <t>Master Model G10 Grizzly XL_TwoAge_5a_6a_14b_15a_B04</t>
        </is>
      </c>
      <c r="C34" s="4" t="inlineStr">
        <is>
          <t>JAGS_Female_2000</t>
        </is>
      </c>
      <c r="D34" s="5" t="n">
        <v>0.1</v>
      </c>
      <c r="E34" s="4" t="inlineStr">
        <is>
          <t>Variable</t>
        </is>
      </c>
      <c r="F34" s="4" t="inlineStr">
        <is>
          <t>Smoking initiation and cessation variable</t>
        </is>
      </c>
      <c r="G34" s="4" t="inlineStr">
        <is>
          <t>68 - 72</t>
        </is>
      </c>
      <c r="H34" s="4" t="inlineStr">
        <is>
          <t>ALL.T</t>
        </is>
      </c>
      <c r="I34" s="6" t="n">
        <v>785732.829334</v>
      </c>
      <c r="J34" s="7" t="n">
        <v>0.01</v>
      </c>
      <c r="K34" s="7" t="n">
        <v>0.009999999776482582</v>
      </c>
      <c r="L34" s="4" t="inlineStr">
        <is>
          <t>N/A</t>
        </is>
      </c>
      <c r="M34" s="4" t="inlineStr">
        <is>
          <t>N/A</t>
        </is>
      </c>
      <c r="N34" s="4" t="inlineStr">
        <is>
          <t>N/A</t>
        </is>
      </c>
      <c r="O34" s="4" t="inlineStr">
        <is>
          <t>N/A</t>
        </is>
      </c>
      <c r="P34" s="4" t="inlineStr">
        <is>
          <t>N/A</t>
        </is>
      </c>
      <c r="Q34" s="4" t="inlineStr">
        <is>
          <t>N/A</t>
        </is>
      </c>
      <c r="R34" s="8" t="n">
        <v>46254.0357053125</v>
      </c>
      <c r="S34" s="4" t="inlineStr">
        <is>
          <t>3.0.0</t>
        </is>
      </c>
      <c r="T34" s="4" t="inlineStr">
        <is>
          <t>1.8</t>
        </is>
      </c>
    </row>
    <row r="35">
      <c r="A35" s="4" t="inlineStr">
        <is>
          <t>Grizzly XL YO</t>
        </is>
      </c>
      <c r="B35" s="4" t="inlineStr">
        <is>
          <t>Master Model G10 Grizzly XL_TwoAge_5a_6a_14b_15a_B05</t>
        </is>
      </c>
      <c r="C35" s="4" t="inlineStr">
        <is>
          <t>JAGS_Male_2000</t>
        </is>
      </c>
      <c r="D35" s="5" t="n">
        <v>0.05</v>
      </c>
      <c r="E35" s="4" t="inlineStr">
        <is>
          <t>Variable</t>
        </is>
      </c>
      <c r="F35" s="4" t="inlineStr">
        <is>
          <t>Smoking initiation and cessation variable</t>
        </is>
      </c>
      <c r="G35" s="4" t="inlineStr">
        <is>
          <t>68 - 72</t>
        </is>
      </c>
      <c r="H35" s="4" t="inlineStr">
        <is>
          <t>DIFF_ALL</t>
        </is>
      </c>
      <c r="I35" s="6" t="n">
        <v>716.136721</v>
      </c>
      <c r="J35" s="7" t="n">
        <v>0.01</v>
      </c>
      <c r="K35" s="7" t="n">
        <v>0.009999999776482582</v>
      </c>
      <c r="L35" s="4" t="inlineStr">
        <is>
          <t>N/A</t>
        </is>
      </c>
      <c r="M35" s="4" t="inlineStr">
        <is>
          <t>N/A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N/A</t>
        </is>
      </c>
      <c r="Q35" s="4" t="inlineStr">
        <is>
          <t>N/A</t>
        </is>
      </c>
      <c r="R35" s="8" t="n">
        <v>46254.0357053125</v>
      </c>
      <c r="S35" s="4" t="inlineStr">
        <is>
          <t>3.0.0</t>
        </is>
      </c>
      <c r="T35" s="4" t="inlineStr">
        <is>
          <t>1.8</t>
        </is>
      </c>
    </row>
    <row r="36">
      <c r="A36" s="4" t="inlineStr">
        <is>
          <t>Grizzly XL YO</t>
        </is>
      </c>
      <c r="B36" s="4" t="inlineStr">
        <is>
          <t>Master Model G10 Grizzly XL_TwoAge_5a_6a_14b_15a_B05</t>
        </is>
      </c>
      <c r="C36" s="4" t="inlineStr">
        <is>
          <t>JAGS_Male_2000</t>
        </is>
      </c>
      <c r="D36" s="5" t="n">
        <v>0.05</v>
      </c>
      <c r="E36" s="4" t="inlineStr">
        <is>
          <t>Variable</t>
        </is>
      </c>
      <c r="F36" s="4" t="inlineStr">
        <is>
          <t>Smoking initiation and cessation variable</t>
        </is>
      </c>
      <c r="G36" s="4" t="inlineStr">
        <is>
          <t>68 - 72</t>
        </is>
      </c>
      <c r="H36" s="4" t="inlineStr">
        <is>
          <t>ALL.T</t>
        </is>
      </c>
      <c r="I36" s="6" t="n">
        <v>679481.665367</v>
      </c>
      <c r="J36" s="7" t="n">
        <v>0.01</v>
      </c>
      <c r="K36" s="7" t="n">
        <v>0.009999999776482582</v>
      </c>
      <c r="L36" s="4" t="inlineStr">
        <is>
          <t>N/A</t>
        </is>
      </c>
      <c r="M36" s="4" t="inlineStr">
        <is>
          <t>N/A</t>
        </is>
      </c>
      <c r="N36" s="4" t="inlineStr">
        <is>
          <t>N/A</t>
        </is>
      </c>
      <c r="O36" s="4" t="inlineStr">
        <is>
          <t>N/A</t>
        </is>
      </c>
      <c r="P36" s="4" t="inlineStr">
        <is>
          <t>N/A</t>
        </is>
      </c>
      <c r="Q36" s="4" t="inlineStr">
        <is>
          <t>N/A</t>
        </is>
      </c>
      <c r="R36" s="8" t="n">
        <v>46254.0357053125</v>
      </c>
      <c r="S36" s="4" t="inlineStr">
        <is>
          <t>3.0.0</t>
        </is>
      </c>
      <c r="T36" s="4" t="inlineStr">
        <is>
          <t>1.8</t>
        </is>
      </c>
    </row>
    <row r="37">
      <c r="A37" s="4" t="inlineStr">
        <is>
          <t>Grizzly XL YO</t>
        </is>
      </c>
      <c r="B37" s="4" t="inlineStr">
        <is>
          <t>Master Model G10 Grizzly XL_TwoAge_5a_6a_14b_15a_B05</t>
        </is>
      </c>
      <c r="C37" s="4" t="inlineStr">
        <is>
          <t>JAGS_Male_2000</t>
        </is>
      </c>
      <c r="D37" s="5" t="n">
        <v>0.1</v>
      </c>
      <c r="E37" s="4" t="inlineStr">
        <is>
          <t>Variable</t>
        </is>
      </c>
      <c r="F37" s="4" t="inlineStr">
        <is>
          <t>Smoking initiation and cessation variable</t>
        </is>
      </c>
      <c r="G37" s="4" t="inlineStr">
        <is>
          <t>68 - 72</t>
        </is>
      </c>
      <c r="H37" s="4" t="inlineStr">
        <is>
          <t>DIFF_ALL</t>
        </is>
      </c>
      <c r="I37" s="6" t="n">
        <v>649.7632180000001</v>
      </c>
      <c r="J37" s="7" t="n">
        <v>0.01</v>
      </c>
      <c r="K37" s="7" t="n">
        <v>0.009999999776482582</v>
      </c>
      <c r="L37" s="4" t="inlineStr">
        <is>
          <t>N/A</t>
        </is>
      </c>
      <c r="M37" s="4" t="inlineStr">
        <is>
          <t>N/A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N/A</t>
        </is>
      </c>
      <c r="Q37" s="4" t="inlineStr">
        <is>
          <t>N/A</t>
        </is>
      </c>
      <c r="R37" s="8" t="n">
        <v>46254.0357053125</v>
      </c>
      <c r="S37" s="4" t="inlineStr">
        <is>
          <t>3.0.0</t>
        </is>
      </c>
      <c r="T37" s="4" t="inlineStr">
        <is>
          <t>1.8</t>
        </is>
      </c>
    </row>
    <row r="38">
      <c r="A38" s="4" t="inlineStr">
        <is>
          <t>Grizzly XL YO</t>
        </is>
      </c>
      <c r="B38" s="4" t="inlineStr">
        <is>
          <t>Master Model G10 Grizzly XL_TwoAge_5a_6a_14b_15a_B05</t>
        </is>
      </c>
      <c r="C38" s="4" t="inlineStr">
        <is>
          <t>JAGS_Male_2000</t>
        </is>
      </c>
      <c r="D38" s="5" t="n">
        <v>0.1</v>
      </c>
      <c r="E38" s="4" t="inlineStr">
        <is>
          <t>Variable</t>
        </is>
      </c>
      <c r="F38" s="4" t="inlineStr">
        <is>
          <t>Smoking initiation and cessation variable</t>
        </is>
      </c>
      <c r="G38" s="4" t="inlineStr">
        <is>
          <t>68 - 72</t>
        </is>
      </c>
      <c r="H38" s="4" t="inlineStr">
        <is>
          <t>ALL.T</t>
        </is>
      </c>
      <c r="I38" s="6" t="n">
        <v>679415.291865</v>
      </c>
      <c r="J38" s="7" t="n">
        <v>0.01</v>
      </c>
      <c r="K38" s="7" t="n">
        <v>0.009999999776482582</v>
      </c>
      <c r="L38" s="4" t="inlineStr">
        <is>
          <t>N/A</t>
        </is>
      </c>
      <c r="M38" s="4" t="inlineStr">
        <is>
          <t>N/A</t>
        </is>
      </c>
      <c r="N38" s="4" t="inlineStr">
        <is>
          <t>N/A</t>
        </is>
      </c>
      <c r="O38" s="4" t="inlineStr">
        <is>
          <t>N/A</t>
        </is>
      </c>
      <c r="P38" s="4" t="inlineStr">
        <is>
          <t>N/A</t>
        </is>
      </c>
      <c r="Q38" s="4" t="inlineStr">
        <is>
          <t>N/A</t>
        </is>
      </c>
      <c r="R38" s="8" t="n">
        <v>46254.0357053125</v>
      </c>
      <c r="S38" s="4" t="inlineStr">
        <is>
          <t>3.0.0</t>
        </is>
      </c>
      <c r="T38" s="4" t="inlineStr">
        <is>
          <t>1.8</t>
        </is>
      </c>
    </row>
    <row r="39">
      <c r="A39" s="4" t="inlineStr">
        <is>
          <t>Grizzly XL YO</t>
        </is>
      </c>
      <c r="B39" s="4" t="inlineStr">
        <is>
          <t>Master Model G10 Grizzly XL_TwoAge_5a_6a_14b_15a_B05</t>
        </is>
      </c>
      <c r="C39" s="4" t="inlineStr">
        <is>
          <t>JAGS_Female_2000</t>
        </is>
      </c>
      <c r="D39" s="5" t="n">
        <v>0.05</v>
      </c>
      <c r="E39" s="4" t="inlineStr">
        <is>
          <t>Variable</t>
        </is>
      </c>
      <c r="F39" s="4" t="inlineStr">
        <is>
          <t>Smoking initiation and cessation variable</t>
        </is>
      </c>
      <c r="G39" s="4" t="inlineStr">
        <is>
          <t>68 - 72</t>
        </is>
      </c>
      <c r="H39" s="4" t="inlineStr">
        <is>
          <t>DIFF_ALL</t>
        </is>
      </c>
      <c r="I39" s="6" t="n">
        <v>595.69564</v>
      </c>
      <c r="J39" s="7" t="n">
        <v>0.01</v>
      </c>
      <c r="K39" s="7" t="n">
        <v>0.009999999776482582</v>
      </c>
      <c r="L39" s="4" t="inlineStr">
        <is>
          <t>N/A</t>
        </is>
      </c>
      <c r="M39" s="4" t="inlineStr">
        <is>
          <t>N/A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N/A</t>
        </is>
      </c>
      <c r="Q39" s="4" t="inlineStr">
        <is>
          <t>N/A</t>
        </is>
      </c>
      <c r="R39" s="8" t="n">
        <v>46254.0357053125</v>
      </c>
      <c r="S39" s="4" t="inlineStr">
        <is>
          <t>3.0.0</t>
        </is>
      </c>
      <c r="T39" s="4" t="inlineStr">
        <is>
          <t>1.8</t>
        </is>
      </c>
    </row>
    <row r="40">
      <c r="A40" s="4" t="inlineStr">
        <is>
          <t>Grizzly XL YO</t>
        </is>
      </c>
      <c r="B40" s="4" t="inlineStr">
        <is>
          <t>Master Model G10 Grizzly XL_TwoAge_5a_6a_14b_15a_B05</t>
        </is>
      </c>
      <c r="C40" s="4" t="inlineStr">
        <is>
          <t>JAGS_Female_2000</t>
        </is>
      </c>
      <c r="D40" s="5" t="n">
        <v>0.05</v>
      </c>
      <c r="E40" s="4" t="inlineStr">
        <is>
          <t>Variable</t>
        </is>
      </c>
      <c r="F40" s="4" t="inlineStr">
        <is>
          <t>Smoking initiation and cessation variable</t>
        </is>
      </c>
      <c r="G40" s="4" t="inlineStr">
        <is>
          <t>68 - 72</t>
        </is>
      </c>
      <c r="H40" s="4" t="inlineStr">
        <is>
          <t>ALL.T</t>
        </is>
      </c>
      <c r="I40" s="6" t="n">
        <v>785557.005063</v>
      </c>
      <c r="J40" s="7" t="n">
        <v>0.01</v>
      </c>
      <c r="K40" s="7" t="n">
        <v>0.009999999776482582</v>
      </c>
      <c r="L40" s="4" t="inlineStr">
        <is>
          <t>N/A</t>
        </is>
      </c>
      <c r="M40" s="4" t="inlineStr">
        <is>
          <t>N/A</t>
        </is>
      </c>
      <c r="N40" s="4" t="inlineStr">
        <is>
          <t>N/A</t>
        </is>
      </c>
      <c r="O40" s="4" t="inlineStr">
        <is>
          <t>N/A</t>
        </is>
      </c>
      <c r="P40" s="4" t="inlineStr">
        <is>
          <t>N/A</t>
        </is>
      </c>
      <c r="Q40" s="4" t="inlineStr">
        <is>
          <t>N/A</t>
        </is>
      </c>
      <c r="R40" s="8" t="n">
        <v>46254.0357053125</v>
      </c>
      <c r="S40" s="4" t="inlineStr">
        <is>
          <t>3.0.0</t>
        </is>
      </c>
      <c r="T40" s="4" t="inlineStr">
        <is>
          <t>1.8</t>
        </is>
      </c>
    </row>
    <row r="41">
      <c r="A41" s="4" t="inlineStr">
        <is>
          <t>Grizzly XL YO</t>
        </is>
      </c>
      <c r="B41" s="4" t="inlineStr">
        <is>
          <t>Master Model G10 Grizzly XL_TwoAge_5a_6a_14b_15a_B05</t>
        </is>
      </c>
      <c r="C41" s="4" t="inlineStr">
        <is>
          <t>JAGS_Female_2000</t>
        </is>
      </c>
      <c r="D41" s="5" t="n">
        <v>0.1</v>
      </c>
      <c r="E41" s="4" t="inlineStr">
        <is>
          <t>Variable</t>
        </is>
      </c>
      <c r="F41" s="4" t="inlineStr">
        <is>
          <t>Smoking initiation and cessation variable</t>
        </is>
      </c>
      <c r="G41" s="4" t="inlineStr">
        <is>
          <t>68 - 72</t>
        </is>
      </c>
      <c r="H41" s="4" t="inlineStr">
        <is>
          <t>DIFF_ALL</t>
        </is>
      </c>
      <c r="I41" s="6" t="n">
        <v>542.278774</v>
      </c>
      <c r="J41" s="7" t="n">
        <v>0.01</v>
      </c>
      <c r="K41" s="7" t="n">
        <v>0.009999999776482582</v>
      </c>
      <c r="L41" s="4" t="inlineStr">
        <is>
          <t>N/A</t>
        </is>
      </c>
      <c r="M41" s="4" t="inlineStr">
        <is>
          <t>N/A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N/A</t>
        </is>
      </c>
      <c r="Q41" s="4" t="inlineStr">
        <is>
          <t>N/A</t>
        </is>
      </c>
      <c r="R41" s="8" t="n">
        <v>46254.0357053125</v>
      </c>
      <c r="S41" s="4" t="inlineStr">
        <is>
          <t>3.0.0</t>
        </is>
      </c>
      <c r="T41" s="4" t="inlineStr">
        <is>
          <t>1.8</t>
        </is>
      </c>
    </row>
    <row r="42">
      <c r="A42" s="4" t="inlineStr">
        <is>
          <t>Grizzly XL YO</t>
        </is>
      </c>
      <c r="B42" s="4" t="inlineStr">
        <is>
          <t>Master Model G10 Grizzly XL_TwoAge_5a_6a_14b_15a_B05</t>
        </is>
      </c>
      <c r="C42" s="4" t="inlineStr">
        <is>
          <t>JAGS_Female_2000</t>
        </is>
      </c>
      <c r="D42" s="5" t="n">
        <v>0.1</v>
      </c>
      <c r="E42" s="4" t="inlineStr">
        <is>
          <t>Variable</t>
        </is>
      </c>
      <c r="F42" s="4" t="inlineStr">
        <is>
          <t>Smoking initiation and cessation variable</t>
        </is>
      </c>
      <c r="G42" s="4" t="inlineStr">
        <is>
          <t>68 - 72</t>
        </is>
      </c>
      <c r="H42" s="4" t="inlineStr">
        <is>
          <t>ALL.T</t>
        </is>
      </c>
      <c r="I42" s="6" t="n">
        <v>785503.588198</v>
      </c>
      <c r="J42" s="7" t="n">
        <v>0.01</v>
      </c>
      <c r="K42" s="7" t="n">
        <v>0.009999999776482582</v>
      </c>
      <c r="L42" s="4" t="inlineStr">
        <is>
          <t>N/A</t>
        </is>
      </c>
      <c r="M42" s="4" t="inlineStr">
        <is>
          <t>N/A</t>
        </is>
      </c>
      <c r="N42" s="4" t="inlineStr">
        <is>
          <t>N/A</t>
        </is>
      </c>
      <c r="O42" s="4" t="inlineStr">
        <is>
          <t>N/A</t>
        </is>
      </c>
      <c r="P42" s="4" t="inlineStr">
        <is>
          <t>N/A</t>
        </is>
      </c>
      <c r="Q42" s="4" t="inlineStr">
        <is>
          <t>N/A</t>
        </is>
      </c>
      <c r="R42" s="8" t="n">
        <v>46254.0357053125</v>
      </c>
      <c r="S42" s="4" t="inlineStr">
        <is>
          <t>3.0.0</t>
        </is>
      </c>
      <c r="T42" s="4" t="inlineStr">
        <is>
          <t>1.8</t>
        </is>
      </c>
    </row>
    <row r="43">
      <c r="A43" s="4" t="inlineStr">
        <is>
          <t>Grizzly XL YO</t>
        </is>
      </c>
      <c r="B43" s="4" t="inlineStr">
        <is>
          <t>Master Model G10 Grizzly XL_TwoAge_5a_6a_14b_15a_B06</t>
        </is>
      </c>
      <c r="C43" s="4" t="inlineStr">
        <is>
          <t>JAGS_Male_2000</t>
        </is>
      </c>
      <c r="D43" s="5" t="n">
        <v>0.05</v>
      </c>
      <c r="E43" s="4" t="inlineStr">
        <is>
          <t>Variable</t>
        </is>
      </c>
      <c r="F43" s="4" t="inlineStr">
        <is>
          <t>Smoking initiation and cessation variable</t>
        </is>
      </c>
      <c r="G43" s="4" t="inlineStr">
        <is>
          <t>68 - 72</t>
        </is>
      </c>
      <c r="H43" s="4" t="inlineStr">
        <is>
          <t>DIFF_ALL</t>
        </is>
      </c>
      <c r="I43" s="6" t="n">
        <v>482.961747</v>
      </c>
      <c r="J43" s="7" t="n">
        <v>0.01</v>
      </c>
      <c r="K43" s="7" t="n">
        <v>0.009999999776482582</v>
      </c>
      <c r="L43" s="4" t="inlineStr">
        <is>
          <t>N/A</t>
        </is>
      </c>
      <c r="M43" s="4" t="inlineStr">
        <is>
          <t>N/A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N/A</t>
        </is>
      </c>
      <c r="Q43" s="4" t="inlineStr">
        <is>
          <t>N/A</t>
        </is>
      </c>
      <c r="R43" s="8" t="n">
        <v>46254.0357053125</v>
      </c>
      <c r="S43" s="4" t="inlineStr">
        <is>
          <t>3.0.0</t>
        </is>
      </c>
      <c r="T43" s="4" t="inlineStr">
        <is>
          <t>1.8</t>
        </is>
      </c>
    </row>
    <row r="44">
      <c r="A44" s="4" t="inlineStr">
        <is>
          <t>Grizzly XL YO</t>
        </is>
      </c>
      <c r="B44" s="4" t="inlineStr">
        <is>
          <t>Master Model G10 Grizzly XL_TwoAge_5a_6a_14b_15a_B06</t>
        </is>
      </c>
      <c r="C44" s="4" t="inlineStr">
        <is>
          <t>JAGS_Male_2000</t>
        </is>
      </c>
      <c r="D44" s="5" t="n">
        <v>0.05</v>
      </c>
      <c r="E44" s="4" t="inlineStr">
        <is>
          <t>Variable</t>
        </is>
      </c>
      <c r="F44" s="4" t="inlineStr">
        <is>
          <t>Smoking initiation and cessation variable</t>
        </is>
      </c>
      <c r="G44" s="4" t="inlineStr">
        <is>
          <t>68 - 72</t>
        </is>
      </c>
      <c r="H44" s="4" t="inlineStr">
        <is>
          <t>ALL.T</t>
        </is>
      </c>
      <c r="I44" s="6" t="n">
        <v>679248.490393</v>
      </c>
      <c r="J44" s="7" t="n">
        <v>0.01</v>
      </c>
      <c r="K44" s="7" t="n">
        <v>0.009999999776482582</v>
      </c>
      <c r="L44" s="4" t="inlineStr">
        <is>
          <t>N/A</t>
        </is>
      </c>
      <c r="M44" s="4" t="inlineStr">
        <is>
          <t>N/A</t>
        </is>
      </c>
      <c r="N44" s="4" t="inlineStr">
        <is>
          <t>N/A</t>
        </is>
      </c>
      <c r="O44" s="4" t="inlineStr">
        <is>
          <t>N/A</t>
        </is>
      </c>
      <c r="P44" s="4" t="inlineStr">
        <is>
          <t>N/A</t>
        </is>
      </c>
      <c r="Q44" s="4" t="inlineStr">
        <is>
          <t>N/A</t>
        </is>
      </c>
      <c r="R44" s="8" t="n">
        <v>46254.0357053125</v>
      </c>
      <c r="S44" s="4" t="inlineStr">
        <is>
          <t>3.0.0</t>
        </is>
      </c>
      <c r="T44" s="4" t="inlineStr">
        <is>
          <t>1.8</t>
        </is>
      </c>
    </row>
    <row r="45">
      <c r="A45" s="4" t="inlineStr">
        <is>
          <t>Grizzly XL YO</t>
        </is>
      </c>
      <c r="B45" s="4" t="inlineStr">
        <is>
          <t>Master Model G10 Grizzly XL_TwoAge_5a_6a_14b_15a_B06</t>
        </is>
      </c>
      <c r="C45" s="4" t="inlineStr">
        <is>
          <t>JAGS_Male_2000</t>
        </is>
      </c>
      <c r="D45" s="5" t="n">
        <v>0.1</v>
      </c>
      <c r="E45" s="4" t="inlineStr">
        <is>
          <t>Variable</t>
        </is>
      </c>
      <c r="F45" s="4" t="inlineStr">
        <is>
          <t>Smoking initiation and cessation variable</t>
        </is>
      </c>
      <c r="G45" s="4" t="inlineStr">
        <is>
          <t>68 - 72</t>
        </is>
      </c>
      <c r="H45" s="4" t="inlineStr">
        <is>
          <t>DIFF_ALL</t>
        </is>
      </c>
      <c r="I45" s="6" t="n">
        <v>438.843727</v>
      </c>
      <c r="J45" s="7" t="n">
        <v>0.01</v>
      </c>
      <c r="K45" s="7" t="n">
        <v>0.009999999776482582</v>
      </c>
      <c r="L45" s="4" t="inlineStr">
        <is>
          <t>N/A</t>
        </is>
      </c>
      <c r="M45" s="4" t="inlineStr">
        <is>
          <t>N/A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N/A</t>
        </is>
      </c>
      <c r="Q45" s="4" t="inlineStr">
        <is>
          <t>N/A</t>
        </is>
      </c>
      <c r="R45" s="8" t="n">
        <v>46254.0357053125</v>
      </c>
      <c r="S45" s="4" t="inlineStr">
        <is>
          <t>3.0.0</t>
        </is>
      </c>
      <c r="T45" s="4" t="inlineStr">
        <is>
          <t>1.8</t>
        </is>
      </c>
    </row>
    <row r="46">
      <c r="A46" s="4" t="inlineStr">
        <is>
          <t>Grizzly XL YO</t>
        </is>
      </c>
      <c r="B46" s="4" t="inlineStr">
        <is>
          <t>Master Model G10 Grizzly XL_TwoAge_5a_6a_14b_15a_B06</t>
        </is>
      </c>
      <c r="C46" s="4" t="inlineStr">
        <is>
          <t>JAGS_Male_2000</t>
        </is>
      </c>
      <c r="D46" s="5" t="n">
        <v>0.1</v>
      </c>
      <c r="E46" s="4" t="inlineStr">
        <is>
          <t>Variable</t>
        </is>
      </c>
      <c r="F46" s="4" t="inlineStr">
        <is>
          <t>Smoking initiation and cessation variable</t>
        </is>
      </c>
      <c r="G46" s="4" t="inlineStr">
        <is>
          <t>68 - 72</t>
        </is>
      </c>
      <c r="H46" s="4" t="inlineStr">
        <is>
          <t>ALL.T</t>
        </is>
      </c>
      <c r="I46" s="6" t="n">
        <v>679204.372374</v>
      </c>
      <c r="J46" s="7" t="n">
        <v>0.01</v>
      </c>
      <c r="K46" s="7" t="n">
        <v>0.009999999776482582</v>
      </c>
      <c r="L46" s="4" t="inlineStr">
        <is>
          <t>N/A</t>
        </is>
      </c>
      <c r="M46" s="4" t="inlineStr">
        <is>
          <t>N/A</t>
        </is>
      </c>
      <c r="N46" s="4" t="inlineStr">
        <is>
          <t>N/A</t>
        </is>
      </c>
      <c r="O46" s="4" t="inlineStr">
        <is>
          <t>N/A</t>
        </is>
      </c>
      <c r="P46" s="4" t="inlineStr">
        <is>
          <t>N/A</t>
        </is>
      </c>
      <c r="Q46" s="4" t="inlineStr">
        <is>
          <t>N/A</t>
        </is>
      </c>
      <c r="R46" s="8" t="n">
        <v>46254.0357053125</v>
      </c>
      <c r="S46" s="4" t="inlineStr">
        <is>
          <t>3.0.0</t>
        </is>
      </c>
      <c r="T46" s="4" t="inlineStr">
        <is>
          <t>1.8</t>
        </is>
      </c>
    </row>
    <row r="47">
      <c r="A47" s="4" t="inlineStr">
        <is>
          <t>Grizzly XL YO</t>
        </is>
      </c>
      <c r="B47" s="4" t="inlineStr">
        <is>
          <t>Master Model G10 Grizzly XL_TwoAge_5a_6a_14b_15a_B06</t>
        </is>
      </c>
      <c r="C47" s="4" t="inlineStr">
        <is>
          <t>JAGS_Female_2000</t>
        </is>
      </c>
      <c r="D47" s="5" t="n">
        <v>0.05</v>
      </c>
      <c r="E47" s="4" t="inlineStr">
        <is>
          <t>Variable</t>
        </is>
      </c>
      <c r="F47" s="4" t="inlineStr">
        <is>
          <t>Smoking initiation and cessation variable</t>
        </is>
      </c>
      <c r="G47" s="4" t="inlineStr">
        <is>
          <t>68 - 72</t>
        </is>
      </c>
      <c r="H47" s="4" t="inlineStr">
        <is>
          <t>DIFF_ALL</t>
        </is>
      </c>
      <c r="I47" s="6" t="n">
        <v>412.082402</v>
      </c>
      <c r="J47" s="7" t="n">
        <v>0.01</v>
      </c>
      <c r="K47" s="7" t="n">
        <v>0.009999999776482582</v>
      </c>
      <c r="L47" s="4" t="inlineStr">
        <is>
          <t>N/A</t>
        </is>
      </c>
      <c r="M47" s="4" t="inlineStr">
        <is>
          <t>N/A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N/A</t>
        </is>
      </c>
      <c r="Q47" s="4" t="inlineStr">
        <is>
          <t>N/A</t>
        </is>
      </c>
      <c r="R47" s="8" t="n">
        <v>46254.0357053125</v>
      </c>
      <c r="S47" s="4" t="inlineStr">
        <is>
          <t>3.0.0</t>
        </is>
      </c>
      <c r="T47" s="4" t="inlineStr">
        <is>
          <t>1.8</t>
        </is>
      </c>
    </row>
    <row r="48">
      <c r="A48" s="4" t="inlineStr">
        <is>
          <t>Grizzly XL YO</t>
        </is>
      </c>
      <c r="B48" s="4" t="inlineStr">
        <is>
          <t>Master Model G10 Grizzly XL_TwoAge_5a_6a_14b_15a_B06</t>
        </is>
      </c>
      <c r="C48" s="4" t="inlineStr">
        <is>
          <t>JAGS_Female_2000</t>
        </is>
      </c>
      <c r="D48" s="5" t="n">
        <v>0.05</v>
      </c>
      <c r="E48" s="4" t="inlineStr">
        <is>
          <t>Variable</t>
        </is>
      </c>
      <c r="F48" s="4" t="inlineStr">
        <is>
          <t>Smoking initiation and cessation variable</t>
        </is>
      </c>
      <c r="G48" s="4" t="inlineStr">
        <is>
          <t>68 - 72</t>
        </is>
      </c>
      <c r="H48" s="4" t="inlineStr">
        <is>
          <t>ALL.T</t>
        </is>
      </c>
      <c r="I48" s="6" t="n">
        <v>785373.3918259999</v>
      </c>
      <c r="J48" s="7" t="n">
        <v>0.01</v>
      </c>
      <c r="K48" s="7" t="n">
        <v>0.009999999776482582</v>
      </c>
      <c r="L48" s="4" t="inlineStr">
        <is>
          <t>N/A</t>
        </is>
      </c>
      <c r="M48" s="4" t="inlineStr">
        <is>
          <t>N/A</t>
        </is>
      </c>
      <c r="N48" s="4" t="inlineStr">
        <is>
          <t>N/A</t>
        </is>
      </c>
      <c r="O48" s="4" t="inlineStr">
        <is>
          <t>N/A</t>
        </is>
      </c>
      <c r="P48" s="4" t="inlineStr">
        <is>
          <t>N/A</t>
        </is>
      </c>
      <c r="Q48" s="4" t="inlineStr">
        <is>
          <t>N/A</t>
        </is>
      </c>
      <c r="R48" s="8" t="n">
        <v>46254.0357053125</v>
      </c>
      <c r="S48" s="4" t="inlineStr">
        <is>
          <t>3.0.0</t>
        </is>
      </c>
      <c r="T48" s="4" t="inlineStr">
        <is>
          <t>1.8</t>
        </is>
      </c>
    </row>
    <row r="49">
      <c r="A49" s="4" t="inlineStr">
        <is>
          <t>Grizzly XL YO</t>
        </is>
      </c>
      <c r="B49" s="4" t="inlineStr">
        <is>
          <t>Master Model G10 Grizzly XL_TwoAge_5a_6a_14b_15a_B06</t>
        </is>
      </c>
      <c r="C49" s="4" t="inlineStr">
        <is>
          <t>JAGS_Female_2000</t>
        </is>
      </c>
      <c r="D49" s="5" t="n">
        <v>0.1</v>
      </c>
      <c r="E49" s="4" t="inlineStr">
        <is>
          <t>Variable</t>
        </is>
      </c>
      <c r="F49" s="4" t="inlineStr">
        <is>
          <t>Smoking initiation and cessation variable</t>
        </is>
      </c>
      <c r="G49" s="4" t="inlineStr">
        <is>
          <t>68 - 72</t>
        </is>
      </c>
      <c r="H49" s="4" t="inlineStr">
        <is>
          <t>DIFF_ALL</t>
        </is>
      </c>
      <c r="I49" s="6" t="n">
        <v>375.460868</v>
      </c>
      <c r="J49" s="7" t="n">
        <v>0.01</v>
      </c>
      <c r="K49" s="7" t="n">
        <v>0.009999999776482582</v>
      </c>
      <c r="L49" s="4" t="inlineStr">
        <is>
          <t>N/A</t>
        </is>
      </c>
      <c r="M49" s="4" t="inlineStr">
        <is>
          <t>N/A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N/A</t>
        </is>
      </c>
      <c r="Q49" s="4" t="inlineStr">
        <is>
          <t>N/A</t>
        </is>
      </c>
      <c r="R49" s="8" t="n">
        <v>46254.0357053125</v>
      </c>
      <c r="S49" s="4" t="inlineStr">
        <is>
          <t>3.0.0</t>
        </is>
      </c>
      <c r="T49" s="4" t="inlineStr">
        <is>
          <t>1.8</t>
        </is>
      </c>
    </row>
    <row r="50">
      <c r="A50" s="4" t="inlineStr">
        <is>
          <t>Grizzly XL YO</t>
        </is>
      </c>
      <c r="B50" s="4" t="inlineStr">
        <is>
          <t>Master Model G10 Grizzly XL_TwoAge_5a_6a_14b_15a_B06</t>
        </is>
      </c>
      <c r="C50" s="4" t="inlineStr">
        <is>
          <t>JAGS_Female_2000</t>
        </is>
      </c>
      <c r="D50" s="5" t="n">
        <v>0.1</v>
      </c>
      <c r="E50" s="4" t="inlineStr">
        <is>
          <t>Variable</t>
        </is>
      </c>
      <c r="F50" s="4" t="inlineStr">
        <is>
          <t>Smoking initiation and cessation variable</t>
        </is>
      </c>
      <c r="G50" s="4" t="inlineStr">
        <is>
          <t>68 - 72</t>
        </is>
      </c>
      <c r="H50" s="4" t="inlineStr">
        <is>
          <t>ALL.T</t>
        </is>
      </c>
      <c r="I50" s="6" t="n">
        <v>785336.770292</v>
      </c>
      <c r="J50" s="7" t="n">
        <v>0.01</v>
      </c>
      <c r="K50" s="7" t="n">
        <v>0.009999999776482582</v>
      </c>
      <c r="L50" s="4" t="inlineStr">
        <is>
          <t>N/A</t>
        </is>
      </c>
      <c r="M50" s="4" t="inlineStr">
        <is>
          <t>N/A</t>
        </is>
      </c>
      <c r="N50" s="4" t="inlineStr">
        <is>
          <t>N/A</t>
        </is>
      </c>
      <c r="O50" s="4" t="inlineStr">
        <is>
          <t>N/A</t>
        </is>
      </c>
      <c r="P50" s="4" t="inlineStr">
        <is>
          <t>N/A</t>
        </is>
      </c>
      <c r="Q50" s="4" t="inlineStr">
        <is>
          <t>N/A</t>
        </is>
      </c>
      <c r="R50" s="8" t="n">
        <v>46254.0357053125</v>
      </c>
      <c r="S50" s="4" t="inlineStr">
        <is>
          <t>3.0.0</t>
        </is>
      </c>
      <c r="T50" s="4" t="inlineStr">
        <is>
          <t>1.8</t>
        </is>
      </c>
    </row>
    <row r="51">
      <c r="A51" s="4" t="inlineStr">
        <is>
          <t>Grizzly XL YO</t>
        </is>
      </c>
      <c r="B51" s="4" t="inlineStr">
        <is>
          <t>Master Model G10 Grizzly XL_TwoAge_5a_6a_14b_15a_B07</t>
        </is>
      </c>
      <c r="C51" s="4" t="inlineStr">
        <is>
          <t>JAGS_Male_2000</t>
        </is>
      </c>
      <c r="D51" s="5" t="n">
        <v>0.05</v>
      </c>
      <c r="E51" s="4" t="inlineStr">
        <is>
          <t>Variable</t>
        </is>
      </c>
      <c r="F51" s="4" t="inlineStr">
        <is>
          <t>Smoking initiation and cessation variable</t>
        </is>
      </c>
      <c r="G51" s="4" t="inlineStr">
        <is>
          <t>68 - 72</t>
        </is>
      </c>
      <c r="H51" s="4" t="inlineStr">
        <is>
          <t>DIFF_ALL</t>
        </is>
      </c>
      <c r="I51" s="6" t="n">
        <v>240.726768</v>
      </c>
      <c r="J51" s="7" t="n">
        <v>0.01</v>
      </c>
      <c r="K51" s="7" t="n">
        <v>0.009999999776482582</v>
      </c>
      <c r="L51" s="4" t="inlineStr">
        <is>
          <t>N/A</t>
        </is>
      </c>
      <c r="M51" s="4" t="inlineStr">
        <is>
          <t>N/A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N/A</t>
        </is>
      </c>
      <c r="Q51" s="4" t="inlineStr">
        <is>
          <t>N/A</t>
        </is>
      </c>
      <c r="R51" s="8" t="n">
        <v>46254.0357053125</v>
      </c>
      <c r="S51" s="4" t="inlineStr">
        <is>
          <t>3.0.0</t>
        </is>
      </c>
      <c r="T51" s="4" t="inlineStr">
        <is>
          <t>1.8</t>
        </is>
      </c>
    </row>
    <row r="52">
      <c r="A52" s="4" t="inlineStr">
        <is>
          <t>Grizzly XL YO</t>
        </is>
      </c>
      <c r="B52" s="4" t="inlineStr">
        <is>
          <t>Master Model G10 Grizzly XL_TwoAge_5a_6a_14b_15a_B07</t>
        </is>
      </c>
      <c r="C52" s="4" t="inlineStr">
        <is>
          <t>JAGS_Male_2000</t>
        </is>
      </c>
      <c r="D52" s="5" t="n">
        <v>0.05</v>
      </c>
      <c r="E52" s="4" t="inlineStr">
        <is>
          <t>Variable</t>
        </is>
      </c>
      <c r="F52" s="4" t="inlineStr">
        <is>
          <t>Smoking initiation and cessation variable</t>
        </is>
      </c>
      <c r="G52" s="4" t="inlineStr">
        <is>
          <t>68 - 72</t>
        </is>
      </c>
      <c r="H52" s="4" t="inlineStr">
        <is>
          <t>ALL.T</t>
        </is>
      </c>
      <c r="I52" s="6" t="n">
        <v>679006.255415</v>
      </c>
      <c r="J52" s="7" t="n">
        <v>0.01</v>
      </c>
      <c r="K52" s="7" t="n">
        <v>0.009999999776482582</v>
      </c>
      <c r="L52" s="4" t="inlineStr">
        <is>
          <t>N/A</t>
        </is>
      </c>
      <c r="M52" s="4" t="inlineStr">
        <is>
          <t>N/A</t>
        </is>
      </c>
      <c r="N52" s="4" t="inlineStr">
        <is>
          <t>N/A</t>
        </is>
      </c>
      <c r="O52" s="4" t="inlineStr">
        <is>
          <t>N/A</t>
        </is>
      </c>
      <c r="P52" s="4" t="inlineStr">
        <is>
          <t>N/A</t>
        </is>
      </c>
      <c r="Q52" s="4" t="inlineStr">
        <is>
          <t>N/A</t>
        </is>
      </c>
      <c r="R52" s="8" t="n">
        <v>46254.0357053125</v>
      </c>
      <c r="S52" s="4" t="inlineStr">
        <is>
          <t>3.0.0</t>
        </is>
      </c>
      <c r="T52" s="4" t="inlineStr">
        <is>
          <t>1.8</t>
        </is>
      </c>
    </row>
    <row r="53">
      <c r="A53" s="4" t="inlineStr">
        <is>
          <t>Grizzly XL YO</t>
        </is>
      </c>
      <c r="B53" s="4" t="inlineStr">
        <is>
          <t>Master Model G10 Grizzly XL_TwoAge_5a_6a_14b_15a_B07</t>
        </is>
      </c>
      <c r="C53" s="4" t="inlineStr">
        <is>
          <t>JAGS_Male_2000</t>
        </is>
      </c>
      <c r="D53" s="5" t="n">
        <v>0.1</v>
      </c>
      <c r="E53" s="4" t="inlineStr">
        <is>
          <t>Variable</t>
        </is>
      </c>
      <c r="F53" s="4" t="inlineStr">
        <is>
          <t>Smoking initiation and cessation variable</t>
        </is>
      </c>
      <c r="G53" s="4" t="inlineStr">
        <is>
          <t>68 - 72</t>
        </is>
      </c>
      <c r="H53" s="4" t="inlineStr">
        <is>
          <t>DIFF_ALL</t>
        </is>
      </c>
      <c r="I53" s="6" t="n">
        <v>219.593357</v>
      </c>
      <c r="J53" s="7" t="n">
        <v>0.01</v>
      </c>
      <c r="K53" s="7" t="n">
        <v>0.009999999776482582</v>
      </c>
      <c r="L53" s="4" t="inlineStr">
        <is>
          <t>N/A</t>
        </is>
      </c>
      <c r="M53" s="4" t="inlineStr">
        <is>
          <t>N/A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N/A</t>
        </is>
      </c>
      <c r="Q53" s="4" t="inlineStr">
        <is>
          <t>N/A</t>
        </is>
      </c>
      <c r="R53" s="8" t="n">
        <v>46254.0357053125</v>
      </c>
      <c r="S53" s="4" t="inlineStr">
        <is>
          <t>3.0.0</t>
        </is>
      </c>
      <c r="T53" s="4" t="inlineStr">
        <is>
          <t>1.8</t>
        </is>
      </c>
    </row>
    <row r="54">
      <c r="A54" s="4" t="inlineStr">
        <is>
          <t>Grizzly XL YO</t>
        </is>
      </c>
      <c r="B54" s="4" t="inlineStr">
        <is>
          <t>Master Model G10 Grizzly XL_TwoAge_5a_6a_14b_15a_B07</t>
        </is>
      </c>
      <c r="C54" s="4" t="inlineStr">
        <is>
          <t>JAGS_Male_2000</t>
        </is>
      </c>
      <c r="D54" s="5" t="n">
        <v>0.1</v>
      </c>
      <c r="E54" s="4" t="inlineStr">
        <is>
          <t>Variable</t>
        </is>
      </c>
      <c r="F54" s="4" t="inlineStr">
        <is>
          <t>Smoking initiation and cessation variable</t>
        </is>
      </c>
      <c r="G54" s="4" t="inlineStr">
        <is>
          <t>68 - 72</t>
        </is>
      </c>
      <c r="H54" s="4" t="inlineStr">
        <is>
          <t>ALL.T</t>
        </is>
      </c>
      <c r="I54" s="6" t="n">
        <v>678985.122004</v>
      </c>
      <c r="J54" s="7" t="n">
        <v>0.01</v>
      </c>
      <c r="K54" s="7" t="n">
        <v>0.009999999776482582</v>
      </c>
      <c r="L54" s="4" t="inlineStr">
        <is>
          <t>N/A</t>
        </is>
      </c>
      <c r="M54" s="4" t="inlineStr">
        <is>
          <t>N/A</t>
        </is>
      </c>
      <c r="N54" s="4" t="inlineStr">
        <is>
          <t>N/A</t>
        </is>
      </c>
      <c r="O54" s="4" t="inlineStr">
        <is>
          <t>N/A</t>
        </is>
      </c>
      <c r="P54" s="4" t="inlineStr">
        <is>
          <t>N/A</t>
        </is>
      </c>
      <c r="Q54" s="4" t="inlineStr">
        <is>
          <t>N/A</t>
        </is>
      </c>
      <c r="R54" s="8" t="n">
        <v>46254.0357053125</v>
      </c>
      <c r="S54" s="4" t="inlineStr">
        <is>
          <t>3.0.0</t>
        </is>
      </c>
      <c r="T54" s="4" t="inlineStr">
        <is>
          <t>1.8</t>
        </is>
      </c>
    </row>
    <row r="55">
      <c r="A55" s="4" t="inlineStr">
        <is>
          <t>Grizzly XL YO</t>
        </is>
      </c>
      <c r="B55" s="4" t="inlineStr">
        <is>
          <t>Master Model G10 Grizzly XL_TwoAge_5a_6a_14b_15a_B07</t>
        </is>
      </c>
      <c r="C55" s="4" t="inlineStr">
        <is>
          <t>JAGS_Female_2000</t>
        </is>
      </c>
      <c r="D55" s="5" t="n">
        <v>0.05</v>
      </c>
      <c r="E55" s="4" t="inlineStr">
        <is>
          <t>Variable</t>
        </is>
      </c>
      <c r="F55" s="4" t="inlineStr">
        <is>
          <t>Smoking initiation and cessation variable</t>
        </is>
      </c>
      <c r="G55" s="4" t="inlineStr">
        <is>
          <t>68 - 72</t>
        </is>
      </c>
      <c r="H55" s="4" t="inlineStr">
        <is>
          <t>DIFF_ALL</t>
        </is>
      </c>
      <c r="I55" s="6" t="n">
        <v>210.771363</v>
      </c>
      <c r="J55" s="7" t="n">
        <v>0.01</v>
      </c>
      <c r="K55" s="7" t="n">
        <v>0.009999999776482582</v>
      </c>
      <c r="L55" s="4" t="inlineStr">
        <is>
          <t>N/A</t>
        </is>
      </c>
      <c r="M55" s="4" t="inlineStr">
        <is>
          <t>N/A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N/A</t>
        </is>
      </c>
      <c r="Q55" s="4" t="inlineStr">
        <is>
          <t>N/A</t>
        </is>
      </c>
      <c r="R55" s="8" t="n">
        <v>46254.0357053125</v>
      </c>
      <c r="S55" s="4" t="inlineStr">
        <is>
          <t>3.0.0</t>
        </is>
      </c>
      <c r="T55" s="4" t="inlineStr">
        <is>
          <t>1.8</t>
        </is>
      </c>
    </row>
    <row r="56">
      <c r="A56" s="4" t="inlineStr">
        <is>
          <t>Grizzly XL YO</t>
        </is>
      </c>
      <c r="B56" s="4" t="inlineStr">
        <is>
          <t>Master Model G10 Grizzly XL_TwoAge_5a_6a_14b_15a_B07</t>
        </is>
      </c>
      <c r="C56" s="4" t="inlineStr">
        <is>
          <t>JAGS_Female_2000</t>
        </is>
      </c>
      <c r="D56" s="5" t="n">
        <v>0.05</v>
      </c>
      <c r="E56" s="4" t="inlineStr">
        <is>
          <t>Variable</t>
        </is>
      </c>
      <c r="F56" s="4" t="inlineStr">
        <is>
          <t>Smoking initiation and cessation variable</t>
        </is>
      </c>
      <c r="G56" s="4" t="inlineStr">
        <is>
          <t>68 - 72</t>
        </is>
      </c>
      <c r="H56" s="4" t="inlineStr">
        <is>
          <t>ALL.T</t>
        </is>
      </c>
      <c r="I56" s="6" t="n">
        <v>785172.080787</v>
      </c>
      <c r="J56" s="7" t="n">
        <v>0.01</v>
      </c>
      <c r="K56" s="7" t="n">
        <v>0.009999999776482582</v>
      </c>
      <c r="L56" s="4" t="inlineStr">
        <is>
          <t>N/A</t>
        </is>
      </c>
      <c r="M56" s="4" t="inlineStr">
        <is>
          <t>N/A</t>
        </is>
      </c>
      <c r="N56" s="4" t="inlineStr">
        <is>
          <t>N/A</t>
        </is>
      </c>
      <c r="O56" s="4" t="inlineStr">
        <is>
          <t>N/A</t>
        </is>
      </c>
      <c r="P56" s="4" t="inlineStr">
        <is>
          <t>N/A</t>
        </is>
      </c>
      <c r="Q56" s="4" t="inlineStr">
        <is>
          <t>N/A</t>
        </is>
      </c>
      <c r="R56" s="8" t="n">
        <v>46254.0357053125</v>
      </c>
      <c r="S56" s="4" t="inlineStr">
        <is>
          <t>3.0.0</t>
        </is>
      </c>
      <c r="T56" s="4" t="inlineStr">
        <is>
          <t>1.8</t>
        </is>
      </c>
    </row>
    <row r="57">
      <c r="A57" s="4" t="inlineStr">
        <is>
          <t>Grizzly XL YO</t>
        </is>
      </c>
      <c r="B57" s="4" t="inlineStr">
        <is>
          <t>Master Model G10 Grizzly XL_TwoAge_5a_6a_14b_15a_B07</t>
        </is>
      </c>
      <c r="C57" s="4" t="inlineStr">
        <is>
          <t>JAGS_Female_2000</t>
        </is>
      </c>
      <c r="D57" s="5" t="n">
        <v>0.1</v>
      </c>
      <c r="E57" s="4" t="inlineStr">
        <is>
          <t>Variable</t>
        </is>
      </c>
      <c r="F57" s="4" t="inlineStr">
        <is>
          <t>Smoking initiation and cessation variable</t>
        </is>
      </c>
      <c r="G57" s="4" t="inlineStr">
        <is>
          <t>68 - 72</t>
        </is>
      </c>
      <c r="H57" s="4" t="inlineStr">
        <is>
          <t>DIFF_ALL</t>
        </is>
      </c>
      <c r="I57" s="6" t="n">
        <v>192.698342</v>
      </c>
      <c r="J57" s="7" t="n">
        <v>0.01</v>
      </c>
      <c r="K57" s="7" t="n">
        <v>0.009999999776482582</v>
      </c>
      <c r="L57" s="4" t="inlineStr">
        <is>
          <t>N/A</t>
        </is>
      </c>
      <c r="M57" s="4" t="inlineStr">
        <is>
          <t>N/A</t>
        </is>
      </c>
      <c r="N57" s="4" t="inlineStr">
        <is>
          <t>N/A</t>
        </is>
      </c>
      <c r="O57" s="4" t="inlineStr">
        <is>
          <t>N/A</t>
        </is>
      </c>
      <c r="P57" s="4" t="inlineStr">
        <is>
          <t>N/A</t>
        </is>
      </c>
      <c r="Q57" s="4" t="inlineStr">
        <is>
          <t>N/A</t>
        </is>
      </c>
      <c r="R57" s="8" t="n">
        <v>46254.0357053125</v>
      </c>
      <c r="S57" s="4" t="inlineStr">
        <is>
          <t>3.0.0</t>
        </is>
      </c>
      <c r="T57" s="4" t="inlineStr">
        <is>
          <t>1.8</t>
        </is>
      </c>
    </row>
    <row r="58">
      <c r="A58" s="4" t="inlineStr">
        <is>
          <t>Grizzly XL YO</t>
        </is>
      </c>
      <c r="B58" s="4" t="inlineStr">
        <is>
          <t>Master Model G10 Grizzly XL_TwoAge_5a_6a_14b_15a_B07</t>
        </is>
      </c>
      <c r="C58" s="4" t="inlineStr">
        <is>
          <t>JAGS_Female_2000</t>
        </is>
      </c>
      <c r="D58" s="5" t="n">
        <v>0.1</v>
      </c>
      <c r="E58" s="4" t="inlineStr">
        <is>
          <t>Variable</t>
        </is>
      </c>
      <c r="F58" s="4" t="inlineStr">
        <is>
          <t>Smoking initiation and cessation variable</t>
        </is>
      </c>
      <c r="G58" s="4" t="inlineStr">
        <is>
          <t>68 - 72</t>
        </is>
      </c>
      <c r="H58" s="4" t="inlineStr">
        <is>
          <t>ALL.T</t>
        </is>
      </c>
      <c r="I58" s="6" t="n">
        <v>785154.007765</v>
      </c>
      <c r="J58" s="7" t="n">
        <v>0.01</v>
      </c>
      <c r="K58" s="7" t="n">
        <v>0.009999999776482582</v>
      </c>
      <c r="L58" s="4" t="inlineStr">
        <is>
          <t>N/A</t>
        </is>
      </c>
      <c r="M58" s="4" t="inlineStr">
        <is>
          <t>N/A</t>
        </is>
      </c>
      <c r="N58" s="4" t="inlineStr">
        <is>
          <t>N/A</t>
        </is>
      </c>
      <c r="O58" s="4" t="inlineStr">
        <is>
          <t>N/A</t>
        </is>
      </c>
      <c r="P58" s="4" t="inlineStr">
        <is>
          <t>N/A</t>
        </is>
      </c>
      <c r="Q58" s="4" t="inlineStr">
        <is>
          <t>N/A</t>
        </is>
      </c>
      <c r="R58" s="8" t="n">
        <v>46254.0357053125</v>
      </c>
      <c r="S58" s="4" t="inlineStr">
        <is>
          <t>3.0.0</t>
        </is>
      </c>
      <c r="T58" s="4" t="inlineStr">
        <is>
          <t>1.8</t>
        </is>
      </c>
    </row>
    <row r="59">
      <c r="A59" s="4" t="inlineStr">
        <is>
          <t>Grizzly XL YO</t>
        </is>
      </c>
      <c r="B59" s="4" t="inlineStr">
        <is>
          <t>Master Model G10 Grizzly XL_TwoAge_5a_6a_14b_15a_B08</t>
        </is>
      </c>
      <c r="C59" s="4" t="inlineStr">
        <is>
          <t>JAGS_Male_2000</t>
        </is>
      </c>
      <c r="D59" s="5" t="n">
        <v>0.05</v>
      </c>
      <c r="E59" s="4" t="inlineStr">
        <is>
          <t>Variable</t>
        </is>
      </c>
      <c r="F59" s="4" t="inlineStr">
        <is>
          <t>Smoking initiation and cessation variable</t>
        </is>
      </c>
      <c r="G59" s="4" t="inlineStr">
        <is>
          <t>68 - 72</t>
        </is>
      </c>
      <c r="H59" s="4" t="inlineStr">
        <is>
          <t>DIFF_ALL</t>
        </is>
      </c>
      <c r="I59" s="6" t="n">
        <v>79.6798</v>
      </c>
      <c r="J59" s="7" t="n">
        <v>0.01</v>
      </c>
      <c r="K59" s="7" t="n">
        <v>0.009999999776482582</v>
      </c>
      <c r="L59" s="4" t="inlineStr">
        <is>
          <t>N/A</t>
        </is>
      </c>
      <c r="M59" s="4" t="inlineStr">
        <is>
          <t>N/A</t>
        </is>
      </c>
      <c r="N59" s="4" t="inlineStr">
        <is>
          <t>N/A</t>
        </is>
      </c>
      <c r="O59" s="4" t="inlineStr">
        <is>
          <t>N/A</t>
        </is>
      </c>
      <c r="P59" s="4" t="inlineStr">
        <is>
          <t>N/A</t>
        </is>
      </c>
      <c r="Q59" s="4" t="inlineStr">
        <is>
          <t>N/A</t>
        </is>
      </c>
      <c r="R59" s="8" t="n">
        <v>46254.0357053125</v>
      </c>
      <c r="S59" s="4" t="inlineStr">
        <is>
          <t>3.0.0</t>
        </is>
      </c>
      <c r="T59" s="4" t="inlineStr">
        <is>
          <t>1.8</t>
        </is>
      </c>
    </row>
    <row r="60">
      <c r="A60" s="4" t="inlineStr">
        <is>
          <t>Grizzly XL YO</t>
        </is>
      </c>
      <c r="B60" s="4" t="inlineStr">
        <is>
          <t>Master Model G10 Grizzly XL_TwoAge_5a_6a_14b_15a_B08</t>
        </is>
      </c>
      <c r="C60" s="4" t="inlineStr">
        <is>
          <t>JAGS_Male_2000</t>
        </is>
      </c>
      <c r="D60" s="5" t="n">
        <v>0.05</v>
      </c>
      <c r="E60" s="4" t="inlineStr">
        <is>
          <t>Variable</t>
        </is>
      </c>
      <c r="F60" s="4" t="inlineStr">
        <is>
          <t>Smoking initiation and cessation variable</t>
        </is>
      </c>
      <c r="G60" s="4" t="inlineStr">
        <is>
          <t>68 - 72</t>
        </is>
      </c>
      <c r="H60" s="4" t="inlineStr">
        <is>
          <t>ALL.T</t>
        </is>
      </c>
      <c r="I60" s="6" t="n">
        <v>678845.208446</v>
      </c>
      <c r="J60" s="7" t="n">
        <v>0.01</v>
      </c>
      <c r="K60" s="7" t="n">
        <v>0.009999999776482582</v>
      </c>
      <c r="L60" s="4" t="inlineStr">
        <is>
          <t>N/A</t>
        </is>
      </c>
      <c r="M60" s="4" t="inlineStr">
        <is>
          <t>N/A</t>
        </is>
      </c>
      <c r="N60" s="4" t="inlineStr">
        <is>
          <t>N/A</t>
        </is>
      </c>
      <c r="O60" s="4" t="inlineStr">
        <is>
          <t>N/A</t>
        </is>
      </c>
      <c r="P60" s="4" t="inlineStr">
        <is>
          <t>N/A</t>
        </is>
      </c>
      <c r="Q60" s="4" t="inlineStr">
        <is>
          <t>N/A</t>
        </is>
      </c>
      <c r="R60" s="8" t="n">
        <v>46254.0357053125</v>
      </c>
      <c r="S60" s="4" t="inlineStr">
        <is>
          <t>3.0.0</t>
        </is>
      </c>
      <c r="T60" s="4" t="inlineStr">
        <is>
          <t>1.8</t>
        </is>
      </c>
    </row>
    <row r="61">
      <c r="A61" s="4" t="inlineStr">
        <is>
          <t>Grizzly XL YO</t>
        </is>
      </c>
      <c r="B61" s="4" t="inlineStr">
        <is>
          <t>Master Model G10 Grizzly XL_TwoAge_5a_6a_14b_15a_B08</t>
        </is>
      </c>
      <c r="C61" s="4" t="inlineStr">
        <is>
          <t>JAGS_Male_2000</t>
        </is>
      </c>
      <c r="D61" s="5" t="n">
        <v>0.1</v>
      </c>
      <c r="E61" s="4" t="inlineStr">
        <is>
          <t>Variable</t>
        </is>
      </c>
      <c r="F61" s="4" t="inlineStr">
        <is>
          <t>Smoking initiation and cessation variable</t>
        </is>
      </c>
      <c r="G61" s="4" t="inlineStr">
        <is>
          <t>68 - 72</t>
        </is>
      </c>
      <c r="H61" s="4" t="inlineStr">
        <is>
          <t>DIFF_ALL</t>
        </is>
      </c>
      <c r="I61" s="6" t="n">
        <v>73.49075499999999</v>
      </c>
      <c r="J61" s="7" t="n">
        <v>0.01</v>
      </c>
      <c r="K61" s="7" t="n">
        <v>0.009999999776482582</v>
      </c>
      <c r="L61" s="4" t="inlineStr">
        <is>
          <t>N/A</t>
        </is>
      </c>
      <c r="M61" s="4" t="inlineStr">
        <is>
          <t>N/A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N/A</t>
        </is>
      </c>
      <c r="Q61" s="4" t="inlineStr">
        <is>
          <t>N/A</t>
        </is>
      </c>
      <c r="R61" s="8" t="n">
        <v>46254.0357053125</v>
      </c>
      <c r="S61" s="4" t="inlineStr">
        <is>
          <t>3.0.0</t>
        </is>
      </c>
      <c r="T61" s="4" t="inlineStr">
        <is>
          <t>1.8</t>
        </is>
      </c>
    </row>
    <row r="62">
      <c r="A62" s="4" t="inlineStr">
        <is>
          <t>Grizzly XL YO</t>
        </is>
      </c>
      <c r="B62" s="4" t="inlineStr">
        <is>
          <t>Master Model G10 Grizzly XL_TwoAge_5a_6a_14b_15a_B08</t>
        </is>
      </c>
      <c r="C62" s="4" t="inlineStr">
        <is>
          <t>JAGS_Male_2000</t>
        </is>
      </c>
      <c r="D62" s="5" t="n">
        <v>0.1</v>
      </c>
      <c r="E62" s="4" t="inlineStr">
        <is>
          <t>Variable</t>
        </is>
      </c>
      <c r="F62" s="4" t="inlineStr">
        <is>
          <t>Smoking initiation and cessation variable</t>
        </is>
      </c>
      <c r="G62" s="4" t="inlineStr">
        <is>
          <t>68 - 72</t>
        </is>
      </c>
      <c r="H62" s="4" t="inlineStr">
        <is>
          <t>ALL.T</t>
        </is>
      </c>
      <c r="I62" s="6" t="n">
        <v>678839.019402</v>
      </c>
      <c r="J62" s="7" t="n">
        <v>0.01</v>
      </c>
      <c r="K62" s="7" t="n">
        <v>0.009999999776482582</v>
      </c>
      <c r="L62" s="4" t="inlineStr">
        <is>
          <t>N/A</t>
        </is>
      </c>
      <c r="M62" s="4" t="inlineStr">
        <is>
          <t>N/A</t>
        </is>
      </c>
      <c r="N62" s="4" t="inlineStr">
        <is>
          <t>N/A</t>
        </is>
      </c>
      <c r="O62" s="4" t="inlineStr">
        <is>
          <t>N/A</t>
        </is>
      </c>
      <c r="P62" s="4" t="inlineStr">
        <is>
          <t>N/A</t>
        </is>
      </c>
      <c r="Q62" s="4" t="inlineStr">
        <is>
          <t>N/A</t>
        </is>
      </c>
      <c r="R62" s="8" t="n">
        <v>46254.0357053125</v>
      </c>
      <c r="S62" s="4" t="inlineStr">
        <is>
          <t>3.0.0</t>
        </is>
      </c>
      <c r="T62" s="4" t="inlineStr">
        <is>
          <t>1.8</t>
        </is>
      </c>
    </row>
    <row r="63">
      <c r="A63" s="4" t="inlineStr">
        <is>
          <t>Grizzly XL YO</t>
        </is>
      </c>
      <c r="B63" s="4" t="inlineStr">
        <is>
          <t>Master Model G10 Grizzly XL_TwoAge_5a_6a_14b_15a_B08</t>
        </is>
      </c>
      <c r="C63" s="4" t="inlineStr">
        <is>
          <t>JAGS_Female_2000</t>
        </is>
      </c>
      <c r="D63" s="5" t="n">
        <v>0.05</v>
      </c>
      <c r="E63" s="4" t="inlineStr">
        <is>
          <t>Variable</t>
        </is>
      </c>
      <c r="F63" s="4" t="inlineStr">
        <is>
          <t>Smoking initiation and cessation variable</t>
        </is>
      </c>
      <c r="G63" s="4" t="inlineStr">
        <is>
          <t>68 - 72</t>
        </is>
      </c>
      <c r="H63" s="4" t="inlineStr">
        <is>
          <t>DIFF_ALL</t>
        </is>
      </c>
      <c r="I63" s="6" t="n">
        <v>71.73335299999999</v>
      </c>
      <c r="J63" s="7" t="n">
        <v>0.01</v>
      </c>
      <c r="K63" s="7" t="n">
        <v>0.009999999776482582</v>
      </c>
      <c r="L63" s="4" t="inlineStr">
        <is>
          <t>N/A</t>
        </is>
      </c>
      <c r="M63" s="4" t="inlineStr">
        <is>
          <t>N/A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N/A</t>
        </is>
      </c>
      <c r="Q63" s="4" t="inlineStr">
        <is>
          <t>N/A</t>
        </is>
      </c>
      <c r="R63" s="8" t="n">
        <v>46254.0357053125</v>
      </c>
      <c r="S63" s="4" t="inlineStr">
        <is>
          <t>3.0.0</t>
        </is>
      </c>
      <c r="T63" s="4" t="inlineStr">
        <is>
          <t>1.8</t>
        </is>
      </c>
    </row>
    <row r="64">
      <c r="A64" s="4" t="inlineStr">
        <is>
          <t>Grizzly XL YO</t>
        </is>
      </c>
      <c r="B64" s="4" t="inlineStr">
        <is>
          <t>Master Model G10 Grizzly XL_TwoAge_5a_6a_14b_15a_B08</t>
        </is>
      </c>
      <c r="C64" s="4" t="inlineStr">
        <is>
          <t>JAGS_Female_2000</t>
        </is>
      </c>
      <c r="D64" s="5" t="n">
        <v>0.05</v>
      </c>
      <c r="E64" s="4" t="inlineStr">
        <is>
          <t>Variable</t>
        </is>
      </c>
      <c r="F64" s="4" t="inlineStr">
        <is>
          <t>Smoking initiation and cessation variable</t>
        </is>
      </c>
      <c r="G64" s="4" t="inlineStr">
        <is>
          <t>68 - 72</t>
        </is>
      </c>
      <c r="H64" s="4" t="inlineStr">
        <is>
          <t>ALL.T</t>
        </is>
      </c>
      <c r="I64" s="6" t="n">
        <v>785033.042777</v>
      </c>
      <c r="J64" s="7" t="n">
        <v>0.01</v>
      </c>
      <c r="K64" s="7" t="n">
        <v>0.009999999776482582</v>
      </c>
      <c r="L64" s="4" t="inlineStr">
        <is>
          <t>N/A</t>
        </is>
      </c>
      <c r="M64" s="4" t="inlineStr">
        <is>
          <t>N/A</t>
        </is>
      </c>
      <c r="N64" s="4" t="inlineStr">
        <is>
          <t>N/A</t>
        </is>
      </c>
      <c r="O64" s="4" t="inlineStr">
        <is>
          <t>N/A</t>
        </is>
      </c>
      <c r="P64" s="4" t="inlineStr">
        <is>
          <t>N/A</t>
        </is>
      </c>
      <c r="Q64" s="4" t="inlineStr">
        <is>
          <t>N/A</t>
        </is>
      </c>
      <c r="R64" s="8" t="n">
        <v>46254.0357053125</v>
      </c>
      <c r="S64" s="4" t="inlineStr">
        <is>
          <t>3.0.0</t>
        </is>
      </c>
      <c r="T64" s="4" t="inlineStr">
        <is>
          <t>1.8</t>
        </is>
      </c>
    </row>
    <row r="65">
      <c r="A65" s="4" t="inlineStr">
        <is>
          <t>Grizzly XL YO</t>
        </is>
      </c>
      <c r="B65" s="4" t="inlineStr">
        <is>
          <t>Master Model G10 Grizzly XL_TwoAge_5a_6a_14b_15a_B08</t>
        </is>
      </c>
      <c r="C65" s="4" t="inlineStr">
        <is>
          <t>JAGS_Female_2000</t>
        </is>
      </c>
      <c r="D65" s="5" t="n">
        <v>0.1</v>
      </c>
      <c r="E65" s="4" t="inlineStr">
        <is>
          <t>Variable</t>
        </is>
      </c>
      <c r="F65" s="4" t="inlineStr">
        <is>
          <t>Smoking initiation and cessation variable</t>
        </is>
      </c>
      <c r="G65" s="4" t="inlineStr">
        <is>
          <t>68 - 72</t>
        </is>
      </c>
      <c r="H65" s="4" t="inlineStr">
        <is>
          <t>DIFF_ALL</t>
        </is>
      </c>
      <c r="I65" s="6" t="n">
        <v>66.24067100000001</v>
      </c>
      <c r="J65" s="7" t="n">
        <v>0.01</v>
      </c>
      <c r="K65" s="7" t="n">
        <v>0.009999999776482582</v>
      </c>
      <c r="L65" s="4" t="inlineStr">
        <is>
          <t>N/A</t>
        </is>
      </c>
      <c r="M65" s="4" t="inlineStr">
        <is>
          <t>N/A</t>
        </is>
      </c>
      <c r="N65" s="4" t="inlineStr">
        <is>
          <t>N/A</t>
        </is>
      </c>
      <c r="O65" s="4" t="inlineStr">
        <is>
          <t>N/A</t>
        </is>
      </c>
      <c r="P65" s="4" t="inlineStr">
        <is>
          <t>N/A</t>
        </is>
      </c>
      <c r="Q65" s="4" t="inlineStr">
        <is>
          <t>N/A</t>
        </is>
      </c>
      <c r="R65" s="8" t="n">
        <v>46254.0357053125</v>
      </c>
      <c r="S65" s="4" t="inlineStr">
        <is>
          <t>3.0.0</t>
        </is>
      </c>
      <c r="T65" s="4" t="inlineStr">
        <is>
          <t>1.8</t>
        </is>
      </c>
    </row>
    <row r="66">
      <c r="A66" s="4" t="inlineStr">
        <is>
          <t>Grizzly XL YO</t>
        </is>
      </c>
      <c r="B66" s="4" t="inlineStr">
        <is>
          <t>Master Model G10 Grizzly XL_TwoAge_5a_6a_14b_15a_B08</t>
        </is>
      </c>
      <c r="C66" s="4" t="inlineStr">
        <is>
          <t>JAGS_Female_2000</t>
        </is>
      </c>
      <c r="D66" s="5" t="n">
        <v>0.1</v>
      </c>
      <c r="E66" s="4" t="inlineStr">
        <is>
          <t>Variable</t>
        </is>
      </c>
      <c r="F66" s="4" t="inlineStr">
        <is>
          <t>Smoking initiation and cessation variable</t>
        </is>
      </c>
      <c r="G66" s="4" t="inlineStr">
        <is>
          <t>68 - 72</t>
        </is>
      </c>
      <c r="H66" s="4" t="inlineStr">
        <is>
          <t>ALL.T</t>
        </is>
      </c>
      <c r="I66" s="6" t="n">
        <v>785027.5500939999</v>
      </c>
      <c r="J66" s="7" t="n">
        <v>0.01</v>
      </c>
      <c r="K66" s="7" t="n">
        <v>0.009999999776482582</v>
      </c>
      <c r="L66" s="4" t="inlineStr">
        <is>
          <t>N/A</t>
        </is>
      </c>
      <c r="M66" s="4" t="inlineStr">
        <is>
          <t>N/A</t>
        </is>
      </c>
      <c r="N66" s="4" t="inlineStr">
        <is>
          <t>N/A</t>
        </is>
      </c>
      <c r="O66" s="4" t="inlineStr">
        <is>
          <t>N/A</t>
        </is>
      </c>
      <c r="P66" s="4" t="inlineStr">
        <is>
          <t>N/A</t>
        </is>
      </c>
      <c r="Q66" s="4" t="inlineStr">
        <is>
          <t>N/A</t>
        </is>
      </c>
      <c r="R66" s="8" t="n">
        <v>46254.0357053125</v>
      </c>
      <c r="S66" s="4" t="inlineStr">
        <is>
          <t>3.0.0</t>
        </is>
      </c>
      <c r="T66" s="4" t="inlineStr">
        <is>
          <t>1.8</t>
        </is>
      </c>
    </row>
    <row r="67">
      <c r="A67" s="4" t="inlineStr">
        <is>
          <t>Grizzly XL YO</t>
        </is>
      </c>
      <c r="B67" s="4" t="inlineStr">
        <is>
          <t>Master Model G10 Grizzly XL_TwoAge_5a_6a_14b_15a_B09</t>
        </is>
      </c>
      <c r="C67" s="4" t="inlineStr">
        <is>
          <t>JAGS_Male_2000</t>
        </is>
      </c>
      <c r="D67" s="5" t="n">
        <v>0.05</v>
      </c>
      <c r="E67" s="4" t="inlineStr">
        <is>
          <t>Variable</t>
        </is>
      </c>
      <c r="F67" s="4" t="inlineStr">
        <is>
          <t>Smoking initiation and cessation variable</t>
        </is>
      </c>
      <c r="G67" s="4" t="inlineStr">
        <is>
          <t>68 - 72</t>
        </is>
      </c>
      <c r="H67" s="4" t="inlineStr">
        <is>
          <t>DIFF_ALL</t>
        </is>
      </c>
      <c r="I67" s="6" t="n">
        <v>22.282647</v>
      </c>
      <c r="J67" s="7" t="n">
        <v>0.01</v>
      </c>
      <c r="K67" s="7" t="n">
        <v>0.009999999776482582</v>
      </c>
      <c r="L67" s="4" t="inlineStr">
        <is>
          <t>N/A</t>
        </is>
      </c>
      <c r="M67" s="4" t="inlineStr">
        <is>
          <t>N/A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N/A</t>
        </is>
      </c>
      <c r="Q67" s="4" t="inlineStr">
        <is>
          <t>N/A</t>
        </is>
      </c>
      <c r="R67" s="8" t="n">
        <v>46254.03570532407</v>
      </c>
      <c r="S67" s="4" t="inlineStr">
        <is>
          <t>3.0.0</t>
        </is>
      </c>
      <c r="T67" s="4" t="inlineStr">
        <is>
          <t>1.8</t>
        </is>
      </c>
    </row>
    <row r="68">
      <c r="A68" s="4" t="inlineStr">
        <is>
          <t>Grizzly XL YO</t>
        </is>
      </c>
      <c r="B68" s="4" t="inlineStr">
        <is>
          <t>Master Model G10 Grizzly XL_TwoAge_5a_6a_14b_15a_B09</t>
        </is>
      </c>
      <c r="C68" s="4" t="inlineStr">
        <is>
          <t>JAGS_Male_2000</t>
        </is>
      </c>
      <c r="D68" s="5" t="n">
        <v>0.05</v>
      </c>
      <c r="E68" s="4" t="inlineStr">
        <is>
          <t>Variable</t>
        </is>
      </c>
      <c r="F68" s="4" t="inlineStr">
        <is>
          <t>Smoking initiation and cessation variable</t>
        </is>
      </c>
      <c r="G68" s="4" t="inlineStr">
        <is>
          <t>68 - 72</t>
        </is>
      </c>
      <c r="H68" s="4" t="inlineStr">
        <is>
          <t>ALL.T</t>
        </is>
      </c>
      <c r="I68" s="6" t="n">
        <v>678787.811293</v>
      </c>
      <c r="J68" s="7" t="n">
        <v>0.01</v>
      </c>
      <c r="K68" s="7" t="n">
        <v>0.009999999776482582</v>
      </c>
      <c r="L68" s="4" t="inlineStr">
        <is>
          <t>N/A</t>
        </is>
      </c>
      <c r="M68" s="4" t="inlineStr">
        <is>
          <t>N/A</t>
        </is>
      </c>
      <c r="N68" s="4" t="inlineStr">
        <is>
          <t>N/A</t>
        </is>
      </c>
      <c r="O68" s="4" t="inlineStr">
        <is>
          <t>N/A</t>
        </is>
      </c>
      <c r="P68" s="4" t="inlineStr">
        <is>
          <t>N/A</t>
        </is>
      </c>
      <c r="Q68" s="4" t="inlineStr">
        <is>
          <t>N/A</t>
        </is>
      </c>
      <c r="R68" s="8" t="n">
        <v>46254.03570532407</v>
      </c>
      <c r="S68" s="4" t="inlineStr">
        <is>
          <t>3.0.0</t>
        </is>
      </c>
      <c r="T68" s="4" t="inlineStr">
        <is>
          <t>1.8</t>
        </is>
      </c>
    </row>
    <row r="69">
      <c r="A69" s="4" t="inlineStr">
        <is>
          <t>Grizzly XL YO</t>
        </is>
      </c>
      <c r="B69" s="4" t="inlineStr">
        <is>
          <t>Master Model G10 Grizzly XL_TwoAge_5a_6a_14b_15a_B09</t>
        </is>
      </c>
      <c r="C69" s="4" t="inlineStr">
        <is>
          <t>JAGS_Male_2000</t>
        </is>
      </c>
      <c r="D69" s="5" t="n">
        <v>0.1</v>
      </c>
      <c r="E69" s="4" t="inlineStr">
        <is>
          <t>Variable</t>
        </is>
      </c>
      <c r="F69" s="4" t="inlineStr">
        <is>
          <t>Smoking initiation and cessation variable</t>
        </is>
      </c>
      <c r="G69" s="4" t="inlineStr">
        <is>
          <t>68 - 72</t>
        </is>
      </c>
      <c r="H69" s="4" t="inlineStr">
        <is>
          <t>DIFF_ALL</t>
        </is>
      </c>
      <c r="I69" s="6" t="n">
        <v>20.225705</v>
      </c>
      <c r="J69" s="7" t="n">
        <v>0.01</v>
      </c>
      <c r="K69" s="7" t="n">
        <v>0.009999999776482582</v>
      </c>
      <c r="L69" s="4" t="inlineStr">
        <is>
          <t>N/A</t>
        </is>
      </c>
      <c r="M69" s="4" t="inlineStr">
        <is>
          <t>N/A</t>
        </is>
      </c>
      <c r="N69" s="4" t="inlineStr">
        <is>
          <t>N/A</t>
        </is>
      </c>
      <c r="O69" s="4" t="inlineStr">
        <is>
          <t>N/A</t>
        </is>
      </c>
      <c r="P69" s="4" t="inlineStr">
        <is>
          <t>N/A</t>
        </is>
      </c>
      <c r="Q69" s="4" t="inlineStr">
        <is>
          <t>N/A</t>
        </is>
      </c>
      <c r="R69" s="8" t="n">
        <v>46254.03570532407</v>
      </c>
      <c r="S69" s="4" t="inlineStr">
        <is>
          <t>3.0.0</t>
        </is>
      </c>
      <c r="T69" s="4" t="inlineStr">
        <is>
          <t>1.8</t>
        </is>
      </c>
    </row>
    <row r="70">
      <c r="A70" s="4" t="inlineStr">
        <is>
          <t>Grizzly XL YO</t>
        </is>
      </c>
      <c r="B70" s="4" t="inlineStr">
        <is>
          <t>Master Model G10 Grizzly XL_TwoAge_5a_6a_14b_15a_B09</t>
        </is>
      </c>
      <c r="C70" s="4" t="inlineStr">
        <is>
          <t>JAGS_Male_2000</t>
        </is>
      </c>
      <c r="D70" s="5" t="n">
        <v>0.1</v>
      </c>
      <c r="E70" s="4" t="inlineStr">
        <is>
          <t>Variable</t>
        </is>
      </c>
      <c r="F70" s="4" t="inlineStr">
        <is>
          <t>Smoking initiation and cessation variable</t>
        </is>
      </c>
      <c r="G70" s="4" t="inlineStr">
        <is>
          <t>68 - 72</t>
        </is>
      </c>
      <c r="H70" s="4" t="inlineStr">
        <is>
          <t>ALL.T</t>
        </is>
      </c>
      <c r="I70" s="6" t="n">
        <v>678785.754352</v>
      </c>
      <c r="J70" s="7" t="n">
        <v>0.01</v>
      </c>
      <c r="K70" s="7" t="n">
        <v>0.009999999776482582</v>
      </c>
      <c r="L70" s="4" t="inlineStr">
        <is>
          <t>N/A</t>
        </is>
      </c>
      <c r="M70" s="4" t="inlineStr">
        <is>
          <t>N/A</t>
        </is>
      </c>
      <c r="N70" s="4" t="inlineStr">
        <is>
          <t>N/A</t>
        </is>
      </c>
      <c r="O70" s="4" t="inlineStr">
        <is>
          <t>N/A</t>
        </is>
      </c>
      <c r="P70" s="4" t="inlineStr">
        <is>
          <t>N/A</t>
        </is>
      </c>
      <c r="Q70" s="4" t="inlineStr">
        <is>
          <t>N/A</t>
        </is>
      </c>
      <c r="R70" s="8" t="n">
        <v>46254.03570532407</v>
      </c>
      <c r="S70" s="4" t="inlineStr">
        <is>
          <t>3.0.0</t>
        </is>
      </c>
      <c r="T70" s="4" t="inlineStr">
        <is>
          <t>1.8</t>
        </is>
      </c>
    </row>
    <row r="71">
      <c r="A71" s="4" t="inlineStr">
        <is>
          <t>Grizzly XL YO</t>
        </is>
      </c>
      <c r="B71" s="4" t="inlineStr">
        <is>
          <t>Master Model G10 Grizzly XL_TwoAge_5a_6a_14b_15a_B09</t>
        </is>
      </c>
      <c r="C71" s="4" t="inlineStr">
        <is>
          <t>JAGS_Female_2000</t>
        </is>
      </c>
      <c r="D71" s="5" t="n">
        <v>0.05</v>
      </c>
      <c r="E71" s="4" t="inlineStr">
        <is>
          <t>Variable</t>
        </is>
      </c>
      <c r="F71" s="4" t="inlineStr">
        <is>
          <t>Smoking initiation and cessation variable</t>
        </is>
      </c>
      <c r="G71" s="4" t="inlineStr">
        <is>
          <t>68 - 72</t>
        </is>
      </c>
      <c r="H71" s="4" t="inlineStr">
        <is>
          <t>DIFF_ALL</t>
        </is>
      </c>
      <c r="I71" s="6" t="n">
        <v>20.745884</v>
      </c>
      <c r="J71" s="7" t="n">
        <v>0.01</v>
      </c>
      <c r="K71" s="7" t="n">
        <v>0.009999999776482582</v>
      </c>
      <c r="L71" s="4" t="inlineStr">
        <is>
          <t>N/A</t>
        </is>
      </c>
      <c r="M71" s="4" t="inlineStr">
        <is>
          <t>N/A</t>
        </is>
      </c>
      <c r="N71" s="4" t="inlineStr">
        <is>
          <t>N/A</t>
        </is>
      </c>
      <c r="O71" s="4" t="inlineStr">
        <is>
          <t>N/A</t>
        </is>
      </c>
      <c r="P71" s="4" t="inlineStr">
        <is>
          <t>N/A</t>
        </is>
      </c>
      <c r="Q71" s="4" t="inlineStr">
        <is>
          <t>N/A</t>
        </is>
      </c>
      <c r="R71" s="8" t="n">
        <v>46254.03570532407</v>
      </c>
      <c r="S71" s="4" t="inlineStr">
        <is>
          <t>3.0.0</t>
        </is>
      </c>
      <c r="T71" s="4" t="inlineStr">
        <is>
          <t>1.8</t>
        </is>
      </c>
    </row>
    <row r="72">
      <c r="A72" s="4" t="inlineStr">
        <is>
          <t>Grizzly XL YO</t>
        </is>
      </c>
      <c r="B72" s="4" t="inlineStr">
        <is>
          <t>Master Model G10 Grizzly XL_TwoAge_5a_6a_14b_15a_B09</t>
        </is>
      </c>
      <c r="C72" s="4" t="inlineStr">
        <is>
          <t>JAGS_Female_2000</t>
        </is>
      </c>
      <c r="D72" s="5" t="n">
        <v>0.05</v>
      </c>
      <c r="E72" s="4" t="inlineStr">
        <is>
          <t>Variable</t>
        </is>
      </c>
      <c r="F72" s="4" t="inlineStr">
        <is>
          <t>Smoking initiation and cessation variable</t>
        </is>
      </c>
      <c r="G72" s="4" t="inlineStr">
        <is>
          <t>68 - 72</t>
        </is>
      </c>
      <c r="H72" s="4" t="inlineStr">
        <is>
          <t>ALL.T</t>
        </is>
      </c>
      <c r="I72" s="6" t="n">
        <v>784982.0553069999</v>
      </c>
      <c r="J72" s="7" t="n">
        <v>0.01</v>
      </c>
      <c r="K72" s="7" t="n">
        <v>0.009999999776482582</v>
      </c>
      <c r="L72" s="4" t="inlineStr">
        <is>
          <t>N/A</t>
        </is>
      </c>
      <c r="M72" s="4" t="inlineStr">
        <is>
          <t>N/A</t>
        </is>
      </c>
      <c r="N72" s="4" t="inlineStr">
        <is>
          <t>N/A</t>
        </is>
      </c>
      <c r="O72" s="4" t="inlineStr">
        <is>
          <t>N/A</t>
        </is>
      </c>
      <c r="P72" s="4" t="inlineStr">
        <is>
          <t>N/A</t>
        </is>
      </c>
      <c r="Q72" s="4" t="inlineStr">
        <is>
          <t>N/A</t>
        </is>
      </c>
      <c r="R72" s="8" t="n">
        <v>46254.03570532407</v>
      </c>
      <c r="S72" s="4" t="inlineStr">
        <is>
          <t>3.0.0</t>
        </is>
      </c>
      <c r="T72" s="4" t="inlineStr">
        <is>
          <t>1.8</t>
        </is>
      </c>
    </row>
    <row r="73">
      <c r="A73" s="4" t="inlineStr">
        <is>
          <t>Grizzly XL YO</t>
        </is>
      </c>
      <c r="B73" s="4" t="inlineStr">
        <is>
          <t>Master Model G10 Grizzly XL_TwoAge_5a_6a_14b_15a_B09</t>
        </is>
      </c>
      <c r="C73" s="4" t="inlineStr">
        <is>
          <t>JAGS_Female_2000</t>
        </is>
      </c>
      <c r="D73" s="5" t="n">
        <v>0.1</v>
      </c>
      <c r="E73" s="4" t="inlineStr">
        <is>
          <t>Variable</t>
        </is>
      </c>
      <c r="F73" s="4" t="inlineStr">
        <is>
          <t>Smoking initiation and cessation variable</t>
        </is>
      </c>
      <c r="G73" s="4" t="inlineStr">
        <is>
          <t>68 - 72</t>
        </is>
      </c>
      <c r="H73" s="4" t="inlineStr">
        <is>
          <t>DIFF_ALL</t>
        </is>
      </c>
      <c r="I73" s="6" t="n">
        <v>18.846747</v>
      </c>
      <c r="J73" s="7" t="n">
        <v>0.01</v>
      </c>
      <c r="K73" s="7" t="n">
        <v>0.009999999776482582</v>
      </c>
      <c r="L73" s="4" t="inlineStr">
        <is>
          <t>N/A</t>
        </is>
      </c>
      <c r="M73" s="4" t="inlineStr">
        <is>
          <t>N/A</t>
        </is>
      </c>
      <c r="N73" s="4" t="inlineStr">
        <is>
          <t>N/A</t>
        </is>
      </c>
      <c r="O73" s="4" t="inlineStr">
        <is>
          <t>N/A</t>
        </is>
      </c>
      <c r="P73" s="4" t="inlineStr">
        <is>
          <t>N/A</t>
        </is>
      </c>
      <c r="Q73" s="4" t="inlineStr">
        <is>
          <t>N/A</t>
        </is>
      </c>
      <c r="R73" s="8" t="n">
        <v>46254.03570532407</v>
      </c>
      <c r="S73" s="4" t="inlineStr">
        <is>
          <t>3.0.0</t>
        </is>
      </c>
      <c r="T73" s="4" t="inlineStr">
        <is>
          <t>1.8</t>
        </is>
      </c>
    </row>
    <row r="74">
      <c r="A74" s="4" t="inlineStr">
        <is>
          <t>Grizzly XL YO</t>
        </is>
      </c>
      <c r="B74" s="4" t="inlineStr">
        <is>
          <t>Master Model G10 Grizzly XL_TwoAge_5a_6a_14b_15a_B09</t>
        </is>
      </c>
      <c r="C74" s="4" t="inlineStr">
        <is>
          <t>JAGS_Female_2000</t>
        </is>
      </c>
      <c r="D74" s="5" t="n">
        <v>0.1</v>
      </c>
      <c r="E74" s="4" t="inlineStr">
        <is>
          <t>Variable</t>
        </is>
      </c>
      <c r="F74" s="4" t="inlineStr">
        <is>
          <t>Smoking initiation and cessation variable</t>
        </is>
      </c>
      <c r="G74" s="4" t="inlineStr">
        <is>
          <t>68 - 72</t>
        </is>
      </c>
      <c r="H74" s="4" t="inlineStr">
        <is>
          <t>ALL.T</t>
        </is>
      </c>
      <c r="I74" s="6" t="n">
        <v>784980.156171</v>
      </c>
      <c r="J74" s="7" t="n">
        <v>0.01</v>
      </c>
      <c r="K74" s="7" t="n">
        <v>0.009999999776482582</v>
      </c>
      <c r="L74" s="4" t="inlineStr">
        <is>
          <t>N/A</t>
        </is>
      </c>
      <c r="M74" s="4" t="inlineStr">
        <is>
          <t>N/A</t>
        </is>
      </c>
      <c r="N74" s="4" t="inlineStr">
        <is>
          <t>N/A</t>
        </is>
      </c>
      <c r="O74" s="4" t="inlineStr">
        <is>
          <t>N/A</t>
        </is>
      </c>
      <c r="P74" s="4" t="inlineStr">
        <is>
          <t>N/A</t>
        </is>
      </c>
      <c r="Q74" s="4" t="inlineStr">
        <is>
          <t>N/A</t>
        </is>
      </c>
      <c r="R74" s="8" t="n">
        <v>46254.03570532407</v>
      </c>
      <c r="S74" s="4" t="inlineStr">
        <is>
          <t>3.0.0</t>
        </is>
      </c>
      <c r="T74" s="4" t="inlineStr">
        <is>
          <t>1.8</t>
        </is>
      </c>
    </row>
    <row r="75">
      <c r="A75" s="4" t="inlineStr">
        <is>
          <t>Grizzly XL YO</t>
        </is>
      </c>
      <c r="B75" s="4" t="inlineStr">
        <is>
          <t>Master Model G10 Grizzly XL_TwoAge_5a_6a_14b_15a_B10</t>
        </is>
      </c>
      <c r="C75" s="4" t="inlineStr">
        <is>
          <t>JAGS_Male_2000</t>
        </is>
      </c>
      <c r="D75" s="5" t="n">
        <v>0.05</v>
      </c>
      <c r="E75" s="4" t="inlineStr">
        <is>
          <t>Variable</t>
        </is>
      </c>
      <c r="F75" s="4" t="inlineStr">
        <is>
          <t>Smoking initiation and cessation variable</t>
        </is>
      </c>
      <c r="G75" s="4" t="inlineStr">
        <is>
          <t>68 - 72</t>
        </is>
      </c>
      <c r="H75" s="4" t="inlineStr">
        <is>
          <t>DIFF_ALL</t>
        </is>
      </c>
      <c r="I75" s="6" t="n">
        <v>8.575639000000001</v>
      </c>
      <c r="J75" s="7" t="n">
        <v>0.01</v>
      </c>
      <c r="K75" s="7" t="n">
        <v>0.009999999776482582</v>
      </c>
      <c r="L75" s="4" t="inlineStr">
        <is>
          <t>N/A</t>
        </is>
      </c>
      <c r="M75" s="4" t="inlineStr">
        <is>
          <t>N/A</t>
        </is>
      </c>
      <c r="N75" s="4" t="inlineStr">
        <is>
          <t>N/A</t>
        </is>
      </c>
      <c r="O75" s="4" t="inlineStr">
        <is>
          <t>N/A</t>
        </is>
      </c>
      <c r="P75" s="4" t="inlineStr">
        <is>
          <t>N/A</t>
        </is>
      </c>
      <c r="Q75" s="4" t="inlineStr">
        <is>
          <t>N/A</t>
        </is>
      </c>
      <c r="R75" s="8" t="n">
        <v>46254.03570532407</v>
      </c>
      <c r="S75" s="4" t="inlineStr">
        <is>
          <t>3.0.0</t>
        </is>
      </c>
      <c r="T75" s="4" t="inlineStr">
        <is>
          <t>1.8</t>
        </is>
      </c>
    </row>
    <row r="76">
      <c r="A76" s="4" t="inlineStr">
        <is>
          <t>Grizzly XL YO</t>
        </is>
      </c>
      <c r="B76" s="4" t="inlineStr">
        <is>
          <t>Master Model G10 Grizzly XL_TwoAge_5a_6a_14b_15a_B10</t>
        </is>
      </c>
      <c r="C76" s="4" t="inlineStr">
        <is>
          <t>JAGS_Male_2000</t>
        </is>
      </c>
      <c r="D76" s="5" t="n">
        <v>0.05</v>
      </c>
      <c r="E76" s="4" t="inlineStr">
        <is>
          <t>Variable</t>
        </is>
      </c>
      <c r="F76" s="4" t="inlineStr">
        <is>
          <t>Smoking initiation and cessation variable</t>
        </is>
      </c>
      <c r="G76" s="4" t="inlineStr">
        <is>
          <t>68 - 72</t>
        </is>
      </c>
      <c r="H76" s="4" t="inlineStr">
        <is>
          <t>ALL.T</t>
        </is>
      </c>
      <c r="I76" s="6" t="n">
        <v>678774.104285</v>
      </c>
      <c r="J76" s="7" t="n">
        <v>0.01</v>
      </c>
      <c r="K76" s="7" t="n">
        <v>0.009999999776482582</v>
      </c>
      <c r="L76" s="4" t="inlineStr">
        <is>
          <t>N/A</t>
        </is>
      </c>
      <c r="M76" s="4" t="inlineStr">
        <is>
          <t>N/A</t>
        </is>
      </c>
      <c r="N76" s="4" t="inlineStr">
        <is>
          <t>N/A</t>
        </is>
      </c>
      <c r="O76" s="4" t="inlineStr">
        <is>
          <t>N/A</t>
        </is>
      </c>
      <c r="P76" s="4" t="inlineStr">
        <is>
          <t>N/A</t>
        </is>
      </c>
      <c r="Q76" s="4" t="inlineStr">
        <is>
          <t>N/A</t>
        </is>
      </c>
      <c r="R76" s="8" t="n">
        <v>46254.03570532407</v>
      </c>
      <c r="S76" s="4" t="inlineStr">
        <is>
          <t>3.0.0</t>
        </is>
      </c>
      <c r="T76" s="4" t="inlineStr">
        <is>
          <t>1.8</t>
        </is>
      </c>
    </row>
    <row r="77">
      <c r="A77" s="4" t="inlineStr">
        <is>
          <t>Grizzly XL YO</t>
        </is>
      </c>
      <c r="B77" s="4" t="inlineStr">
        <is>
          <t>Master Model G10 Grizzly XL_TwoAge_5a_6a_14b_15a_B10</t>
        </is>
      </c>
      <c r="C77" s="4" t="inlineStr">
        <is>
          <t>JAGS_Male_2000</t>
        </is>
      </c>
      <c r="D77" s="5" t="n">
        <v>0.1</v>
      </c>
      <c r="E77" s="4" t="inlineStr">
        <is>
          <t>Variable</t>
        </is>
      </c>
      <c r="F77" s="4" t="inlineStr">
        <is>
          <t>Smoking initiation and cessation variable</t>
        </is>
      </c>
      <c r="G77" s="4" t="inlineStr">
        <is>
          <t>68 - 72</t>
        </is>
      </c>
      <c r="H77" s="4" t="inlineStr">
        <is>
          <t>DIFF_ALL</t>
        </is>
      </c>
      <c r="I77" s="6" t="n">
        <v>7.767961</v>
      </c>
      <c r="J77" s="7" t="n">
        <v>0.01</v>
      </c>
      <c r="K77" s="7" t="n">
        <v>0.009999999776482582</v>
      </c>
      <c r="L77" s="4" t="inlineStr">
        <is>
          <t>N/A</t>
        </is>
      </c>
      <c r="M77" s="4" t="inlineStr">
        <is>
          <t>N/A</t>
        </is>
      </c>
      <c r="N77" s="4" t="inlineStr">
        <is>
          <t>N/A</t>
        </is>
      </c>
      <c r="O77" s="4" t="inlineStr">
        <is>
          <t>N/A</t>
        </is>
      </c>
      <c r="P77" s="4" t="inlineStr">
        <is>
          <t>N/A</t>
        </is>
      </c>
      <c r="Q77" s="4" t="inlineStr">
        <is>
          <t>N/A</t>
        </is>
      </c>
      <c r="R77" s="8" t="n">
        <v>46254.03570532407</v>
      </c>
      <c r="S77" s="4" t="inlineStr">
        <is>
          <t>3.0.0</t>
        </is>
      </c>
      <c r="T77" s="4" t="inlineStr">
        <is>
          <t>1.8</t>
        </is>
      </c>
    </row>
    <row r="78">
      <c r="A78" s="4" t="inlineStr">
        <is>
          <t>Grizzly XL YO</t>
        </is>
      </c>
      <c r="B78" s="4" t="inlineStr">
        <is>
          <t>Master Model G10 Grizzly XL_TwoAge_5a_6a_14b_15a_B10</t>
        </is>
      </c>
      <c r="C78" s="4" t="inlineStr">
        <is>
          <t>JAGS_Male_2000</t>
        </is>
      </c>
      <c r="D78" s="5" t="n">
        <v>0.1</v>
      </c>
      <c r="E78" s="4" t="inlineStr">
        <is>
          <t>Variable</t>
        </is>
      </c>
      <c r="F78" s="4" t="inlineStr">
        <is>
          <t>Smoking initiation and cessation variable</t>
        </is>
      </c>
      <c r="G78" s="4" t="inlineStr">
        <is>
          <t>68 - 72</t>
        </is>
      </c>
      <c r="H78" s="4" t="inlineStr">
        <is>
          <t>ALL.T</t>
        </is>
      </c>
      <c r="I78" s="6" t="n">
        <v>678773.2966070001</v>
      </c>
      <c r="J78" s="7" t="n">
        <v>0.01</v>
      </c>
      <c r="K78" s="7" t="n">
        <v>0.009999999776482582</v>
      </c>
      <c r="L78" s="4" t="inlineStr">
        <is>
          <t>N/A</t>
        </is>
      </c>
      <c r="M78" s="4" t="inlineStr">
        <is>
          <t>N/A</t>
        </is>
      </c>
      <c r="N78" s="4" t="inlineStr">
        <is>
          <t>N/A</t>
        </is>
      </c>
      <c r="O78" s="4" t="inlineStr">
        <is>
          <t>N/A</t>
        </is>
      </c>
      <c r="P78" s="4" t="inlineStr">
        <is>
          <t>N/A</t>
        </is>
      </c>
      <c r="Q78" s="4" t="inlineStr">
        <is>
          <t>N/A</t>
        </is>
      </c>
      <c r="R78" s="8" t="n">
        <v>46254.03570532407</v>
      </c>
      <c r="S78" s="4" t="inlineStr">
        <is>
          <t>3.0.0</t>
        </is>
      </c>
      <c r="T78" s="4" t="inlineStr">
        <is>
          <t>1.8</t>
        </is>
      </c>
    </row>
    <row r="79">
      <c r="A79" s="4" t="inlineStr">
        <is>
          <t>Grizzly XL YO</t>
        </is>
      </c>
      <c r="B79" s="4" t="inlineStr">
        <is>
          <t>Master Model G10 Grizzly XL_TwoAge_5a_6a_14b_15a_B10</t>
        </is>
      </c>
      <c r="C79" s="4" t="inlineStr">
        <is>
          <t>JAGS_Female_2000</t>
        </is>
      </c>
      <c r="D79" s="5" t="n">
        <v>0.05</v>
      </c>
      <c r="E79" s="4" t="inlineStr">
        <is>
          <t>Variable</t>
        </is>
      </c>
      <c r="F79" s="4" t="inlineStr">
        <is>
          <t>Smoking initiation and cessation variable</t>
        </is>
      </c>
      <c r="G79" s="4" t="inlineStr">
        <is>
          <t>68 - 72</t>
        </is>
      </c>
      <c r="H79" s="4" t="inlineStr">
        <is>
          <t>DIFF_ALL</t>
        </is>
      </c>
      <c r="I79" s="6" t="n">
        <v>8.223333</v>
      </c>
      <c r="J79" s="7" t="n">
        <v>0.01</v>
      </c>
      <c r="K79" s="7" t="n">
        <v>0.009999999776482582</v>
      </c>
      <c r="L79" s="4" t="inlineStr">
        <is>
          <t>N/A</t>
        </is>
      </c>
      <c r="M79" s="4" t="inlineStr">
        <is>
          <t>N/A</t>
        </is>
      </c>
      <c r="N79" s="4" t="inlineStr">
        <is>
          <t>N/A</t>
        </is>
      </c>
      <c r="O79" s="4" t="inlineStr">
        <is>
          <t>N/A</t>
        </is>
      </c>
      <c r="P79" s="4" t="inlineStr">
        <is>
          <t>N/A</t>
        </is>
      </c>
      <c r="Q79" s="4" t="inlineStr">
        <is>
          <t>N/A</t>
        </is>
      </c>
      <c r="R79" s="8" t="n">
        <v>46254.03570532407</v>
      </c>
      <c r="S79" s="4" t="inlineStr">
        <is>
          <t>3.0.0</t>
        </is>
      </c>
      <c r="T79" s="4" t="inlineStr">
        <is>
          <t>1.8</t>
        </is>
      </c>
    </row>
    <row r="80">
      <c r="A80" s="4" t="inlineStr">
        <is>
          <t>Grizzly XL YO</t>
        </is>
      </c>
      <c r="B80" s="4" t="inlineStr">
        <is>
          <t>Master Model G10 Grizzly XL_TwoAge_5a_6a_14b_15a_B10</t>
        </is>
      </c>
      <c r="C80" s="4" t="inlineStr">
        <is>
          <t>JAGS_Female_2000</t>
        </is>
      </c>
      <c r="D80" s="5" t="n">
        <v>0.05</v>
      </c>
      <c r="E80" s="4" t="inlineStr">
        <is>
          <t>Variable</t>
        </is>
      </c>
      <c r="F80" s="4" t="inlineStr">
        <is>
          <t>Smoking initiation and cessation variable</t>
        </is>
      </c>
      <c r="G80" s="4" t="inlineStr">
        <is>
          <t>68 - 72</t>
        </is>
      </c>
      <c r="H80" s="4" t="inlineStr">
        <is>
          <t>ALL.T</t>
        </is>
      </c>
      <c r="I80" s="6" t="n">
        <v>784969.5327559999</v>
      </c>
      <c r="J80" s="7" t="n">
        <v>0.01</v>
      </c>
      <c r="K80" s="7" t="n">
        <v>0.009999999776482582</v>
      </c>
      <c r="L80" s="4" t="inlineStr">
        <is>
          <t>N/A</t>
        </is>
      </c>
      <c r="M80" s="4" t="inlineStr">
        <is>
          <t>N/A</t>
        </is>
      </c>
      <c r="N80" s="4" t="inlineStr">
        <is>
          <t>N/A</t>
        </is>
      </c>
      <c r="O80" s="4" t="inlineStr">
        <is>
          <t>N/A</t>
        </is>
      </c>
      <c r="P80" s="4" t="inlineStr">
        <is>
          <t>N/A</t>
        </is>
      </c>
      <c r="Q80" s="4" t="inlineStr">
        <is>
          <t>N/A</t>
        </is>
      </c>
      <c r="R80" s="8" t="n">
        <v>46254.03570532407</v>
      </c>
      <c r="S80" s="4" t="inlineStr">
        <is>
          <t>3.0.0</t>
        </is>
      </c>
      <c r="T80" s="4" t="inlineStr">
        <is>
          <t>1.8</t>
        </is>
      </c>
    </row>
    <row r="81">
      <c r="A81" s="4" t="inlineStr">
        <is>
          <t>Grizzly XL YO</t>
        </is>
      </c>
      <c r="B81" s="4" t="inlineStr">
        <is>
          <t>Master Model G10 Grizzly XL_TwoAge_5a_6a_14b_15a_B10</t>
        </is>
      </c>
      <c r="C81" s="4" t="inlineStr">
        <is>
          <t>JAGS_Female_2000</t>
        </is>
      </c>
      <c r="D81" s="5" t="n">
        <v>0.1</v>
      </c>
      <c r="E81" s="4" t="inlineStr">
        <is>
          <t>Variable</t>
        </is>
      </c>
      <c r="F81" s="4" t="inlineStr">
        <is>
          <t>Smoking initiation and cessation variable</t>
        </is>
      </c>
      <c r="G81" s="4" t="inlineStr">
        <is>
          <t>68 - 72</t>
        </is>
      </c>
      <c r="H81" s="4" t="inlineStr">
        <is>
          <t>DIFF_ALL</t>
        </is>
      </c>
      <c r="I81" s="6" t="n">
        <v>7.451664</v>
      </c>
      <c r="J81" s="7" t="n">
        <v>0.01</v>
      </c>
      <c r="K81" s="7" t="n">
        <v>0.009999999776482582</v>
      </c>
      <c r="L81" s="4" t="inlineStr">
        <is>
          <t>N/A</t>
        </is>
      </c>
      <c r="M81" s="4" t="inlineStr">
        <is>
          <t>N/A</t>
        </is>
      </c>
      <c r="N81" s="4" t="inlineStr">
        <is>
          <t>N/A</t>
        </is>
      </c>
      <c r="O81" s="4" t="inlineStr">
        <is>
          <t>N/A</t>
        </is>
      </c>
      <c r="P81" s="4" t="inlineStr">
        <is>
          <t>N/A</t>
        </is>
      </c>
      <c r="Q81" s="4" t="inlineStr">
        <is>
          <t>N/A</t>
        </is>
      </c>
      <c r="R81" s="8" t="n">
        <v>46254.03570532407</v>
      </c>
      <c r="S81" s="4" t="inlineStr">
        <is>
          <t>3.0.0</t>
        </is>
      </c>
      <c r="T81" s="4" t="inlineStr">
        <is>
          <t>1.8</t>
        </is>
      </c>
    </row>
    <row r="82">
      <c r="A82" s="4" t="inlineStr">
        <is>
          <t>Grizzly XL YO</t>
        </is>
      </c>
      <c r="B82" s="4" t="inlineStr">
        <is>
          <t>Master Model G10 Grizzly XL_TwoAge_5a_6a_14b_15a_B10</t>
        </is>
      </c>
      <c r="C82" s="4" t="inlineStr">
        <is>
          <t>JAGS_Female_2000</t>
        </is>
      </c>
      <c r="D82" s="5" t="n">
        <v>0.1</v>
      </c>
      <c r="E82" s="4" t="inlineStr">
        <is>
          <t>Variable</t>
        </is>
      </c>
      <c r="F82" s="4" t="inlineStr">
        <is>
          <t>Smoking initiation and cessation variable</t>
        </is>
      </c>
      <c r="G82" s="4" t="inlineStr">
        <is>
          <t>68 - 72</t>
        </is>
      </c>
      <c r="H82" s="4" t="inlineStr">
        <is>
          <t>ALL.T</t>
        </is>
      </c>
      <c r="I82" s="6" t="n">
        <v>784968.761087</v>
      </c>
      <c r="J82" s="7" t="n">
        <v>0.01</v>
      </c>
      <c r="K82" s="7" t="n">
        <v>0.009999999776482582</v>
      </c>
      <c r="L82" s="4" t="inlineStr">
        <is>
          <t>N/A</t>
        </is>
      </c>
      <c r="M82" s="4" t="inlineStr">
        <is>
          <t>N/A</t>
        </is>
      </c>
      <c r="N82" s="4" t="inlineStr">
        <is>
          <t>N/A</t>
        </is>
      </c>
      <c r="O82" s="4" t="inlineStr">
        <is>
          <t>N/A</t>
        </is>
      </c>
      <c r="P82" s="4" t="inlineStr">
        <is>
          <t>N/A</t>
        </is>
      </c>
      <c r="Q82" s="4" t="inlineStr">
        <is>
          <t>N/A</t>
        </is>
      </c>
      <c r="R82" s="8" t="n">
        <v>46254.03570532407</v>
      </c>
      <c r="S82" s="4" t="inlineStr">
        <is>
          <t>3.0.0</t>
        </is>
      </c>
      <c r="T82" s="4" t="inlineStr">
        <is>
          <t>1.8</t>
        </is>
      </c>
    </row>
    <row r="83">
      <c r="A83" s="4" t="inlineStr">
        <is>
          <t>Grizzly XL YO</t>
        </is>
      </c>
      <c r="B83" s="4" t="inlineStr">
        <is>
          <t>Master Model G10 Grizzly XL_TwoAge_5a_6a_14b_15a_B11</t>
        </is>
      </c>
      <c r="C83" s="4" t="inlineStr">
        <is>
          <t>JAGS_Male_2000</t>
        </is>
      </c>
      <c r="D83" s="5" t="n">
        <v>0.05</v>
      </c>
      <c r="E83" s="4" t="inlineStr">
        <is>
          <t>Variable</t>
        </is>
      </c>
      <c r="F83" s="4" t="inlineStr">
        <is>
          <t>Smoking initiation and cessation variable</t>
        </is>
      </c>
      <c r="G83" s="4" t="inlineStr">
        <is>
          <t>68 - 72</t>
        </is>
      </c>
      <c r="H83" s="4" t="inlineStr">
        <is>
          <t>DIFF_ALL</t>
        </is>
      </c>
      <c r="I83" s="6" t="n">
        <v>2.174864</v>
      </c>
      <c r="J83" s="7" t="n">
        <v>0.01</v>
      </c>
      <c r="K83" s="7" t="n">
        <v>0.009999999776482582</v>
      </c>
      <c r="L83" s="4" t="inlineStr">
        <is>
          <t>N/A</t>
        </is>
      </c>
      <c r="M83" s="4" t="inlineStr">
        <is>
          <t>N/A</t>
        </is>
      </c>
      <c r="N83" s="4" t="inlineStr">
        <is>
          <t>N/A</t>
        </is>
      </c>
      <c r="O83" s="4" t="inlineStr">
        <is>
          <t>N/A</t>
        </is>
      </c>
      <c r="P83" s="4" t="inlineStr">
        <is>
          <t>N/A</t>
        </is>
      </c>
      <c r="Q83" s="4" t="inlineStr">
        <is>
          <t>N/A</t>
        </is>
      </c>
      <c r="R83" s="8" t="n">
        <v>46254.03570532407</v>
      </c>
      <c r="S83" s="4" t="inlineStr">
        <is>
          <t>3.0.0</t>
        </is>
      </c>
      <c r="T83" s="4" t="inlineStr">
        <is>
          <t>1.8</t>
        </is>
      </c>
    </row>
    <row r="84">
      <c r="A84" s="4" t="inlineStr">
        <is>
          <t>Grizzly XL YO</t>
        </is>
      </c>
      <c r="B84" s="4" t="inlineStr">
        <is>
          <t>Master Model G10 Grizzly XL_TwoAge_5a_6a_14b_15a_B11</t>
        </is>
      </c>
      <c r="C84" s="4" t="inlineStr">
        <is>
          <t>JAGS_Male_2000</t>
        </is>
      </c>
      <c r="D84" s="5" t="n">
        <v>0.05</v>
      </c>
      <c r="E84" s="4" t="inlineStr">
        <is>
          <t>Variable</t>
        </is>
      </c>
      <c r="F84" s="4" t="inlineStr">
        <is>
          <t>Smoking initiation and cessation variable</t>
        </is>
      </c>
      <c r="G84" s="4" t="inlineStr">
        <is>
          <t>68 - 72</t>
        </is>
      </c>
      <c r="H84" s="4" t="inlineStr">
        <is>
          <t>ALL.T</t>
        </is>
      </c>
      <c r="I84" s="6" t="n">
        <v>678767.703511</v>
      </c>
      <c r="J84" s="7" t="n">
        <v>0.01</v>
      </c>
      <c r="K84" s="7" t="n">
        <v>0.009999999776482582</v>
      </c>
      <c r="L84" s="4" t="inlineStr">
        <is>
          <t>N/A</t>
        </is>
      </c>
      <c r="M84" s="4" t="inlineStr">
        <is>
          <t>N/A</t>
        </is>
      </c>
      <c r="N84" s="4" t="inlineStr">
        <is>
          <t>N/A</t>
        </is>
      </c>
      <c r="O84" s="4" t="inlineStr">
        <is>
          <t>N/A</t>
        </is>
      </c>
      <c r="P84" s="4" t="inlineStr">
        <is>
          <t>N/A</t>
        </is>
      </c>
      <c r="Q84" s="4" t="inlineStr">
        <is>
          <t>N/A</t>
        </is>
      </c>
      <c r="R84" s="8" t="n">
        <v>46254.03570532407</v>
      </c>
      <c r="S84" s="4" t="inlineStr">
        <is>
          <t>3.0.0</t>
        </is>
      </c>
      <c r="T84" s="4" t="inlineStr">
        <is>
          <t>1.8</t>
        </is>
      </c>
    </row>
    <row r="85">
      <c r="A85" s="4" t="inlineStr">
        <is>
          <t>Grizzly XL YO</t>
        </is>
      </c>
      <c r="B85" s="4" t="inlineStr">
        <is>
          <t>Master Model G10 Grizzly XL_TwoAge_5a_6a_14b_15a_B11</t>
        </is>
      </c>
      <c r="C85" s="4" t="inlineStr">
        <is>
          <t>JAGS_Male_2000</t>
        </is>
      </c>
      <c r="D85" s="5" t="n">
        <v>0.1</v>
      </c>
      <c r="E85" s="4" t="inlineStr">
        <is>
          <t>Variable</t>
        </is>
      </c>
      <c r="F85" s="4" t="inlineStr">
        <is>
          <t>Smoking initiation and cessation variable</t>
        </is>
      </c>
      <c r="G85" s="4" t="inlineStr">
        <is>
          <t>68 - 72</t>
        </is>
      </c>
      <c r="H85" s="4" t="inlineStr">
        <is>
          <t>DIFF_ALL</t>
        </is>
      </c>
      <c r="I85" s="6" t="n">
        <v>1.976893</v>
      </c>
      <c r="J85" s="7" t="n">
        <v>0.01</v>
      </c>
      <c r="K85" s="7" t="n">
        <v>0.009999999776482582</v>
      </c>
      <c r="L85" s="4" t="inlineStr">
        <is>
          <t>N/A</t>
        </is>
      </c>
      <c r="M85" s="4" t="inlineStr">
        <is>
          <t>N/A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N/A</t>
        </is>
      </c>
      <c r="Q85" s="4" t="inlineStr">
        <is>
          <t>N/A</t>
        </is>
      </c>
      <c r="R85" s="8" t="n">
        <v>46254.03570532407</v>
      </c>
      <c r="S85" s="4" t="inlineStr">
        <is>
          <t>3.0.0</t>
        </is>
      </c>
      <c r="T85" s="4" t="inlineStr">
        <is>
          <t>1.8</t>
        </is>
      </c>
    </row>
    <row r="86">
      <c r="A86" s="4" t="inlineStr">
        <is>
          <t>Grizzly XL YO</t>
        </is>
      </c>
      <c r="B86" s="4" t="inlineStr">
        <is>
          <t>Master Model G10 Grizzly XL_TwoAge_5a_6a_14b_15a_B11</t>
        </is>
      </c>
      <c r="C86" s="4" t="inlineStr">
        <is>
          <t>JAGS_Male_2000</t>
        </is>
      </c>
      <c r="D86" s="5" t="n">
        <v>0.1</v>
      </c>
      <c r="E86" s="4" t="inlineStr">
        <is>
          <t>Variable</t>
        </is>
      </c>
      <c r="F86" s="4" t="inlineStr">
        <is>
          <t>Smoking initiation and cessation variable</t>
        </is>
      </c>
      <c r="G86" s="4" t="inlineStr">
        <is>
          <t>68 - 72</t>
        </is>
      </c>
      <c r="H86" s="4" t="inlineStr">
        <is>
          <t>ALL.T</t>
        </is>
      </c>
      <c r="I86" s="6" t="n">
        <v>678767.50554</v>
      </c>
      <c r="J86" s="7" t="n">
        <v>0.01</v>
      </c>
      <c r="K86" s="7" t="n">
        <v>0.009999999776482582</v>
      </c>
      <c r="L86" s="4" t="inlineStr">
        <is>
          <t>N/A</t>
        </is>
      </c>
      <c r="M86" s="4" t="inlineStr">
        <is>
          <t>N/A</t>
        </is>
      </c>
      <c r="N86" s="4" t="inlineStr">
        <is>
          <t>N/A</t>
        </is>
      </c>
      <c r="O86" s="4" t="inlineStr">
        <is>
          <t>N/A</t>
        </is>
      </c>
      <c r="P86" s="4" t="inlineStr">
        <is>
          <t>N/A</t>
        </is>
      </c>
      <c r="Q86" s="4" t="inlineStr">
        <is>
          <t>N/A</t>
        </is>
      </c>
      <c r="R86" s="8" t="n">
        <v>46254.03570532407</v>
      </c>
      <c r="S86" s="4" t="inlineStr">
        <is>
          <t>3.0.0</t>
        </is>
      </c>
      <c r="T86" s="4" t="inlineStr">
        <is>
          <t>1.8</t>
        </is>
      </c>
    </row>
    <row r="87">
      <c r="A87" s="4" t="inlineStr">
        <is>
          <t>Grizzly XL YO</t>
        </is>
      </c>
      <c r="B87" s="4" t="inlineStr">
        <is>
          <t>Master Model G10 Grizzly XL_TwoAge_5a_6a_14b_15a_B11</t>
        </is>
      </c>
      <c r="C87" s="4" t="inlineStr">
        <is>
          <t>JAGS_Female_2000</t>
        </is>
      </c>
      <c r="D87" s="5" t="n">
        <v>0.05</v>
      </c>
      <c r="E87" s="4" t="inlineStr">
        <is>
          <t>Variable</t>
        </is>
      </c>
      <c r="F87" s="4" t="inlineStr">
        <is>
          <t>Smoking initiation and cessation variable</t>
        </is>
      </c>
      <c r="G87" s="4" t="inlineStr">
        <is>
          <t>68 - 72</t>
        </is>
      </c>
      <c r="H87" s="4" t="inlineStr">
        <is>
          <t>DIFF_ALL</t>
        </is>
      </c>
      <c r="I87" s="6" t="n">
        <v>2.132836</v>
      </c>
      <c r="J87" s="7" t="n">
        <v>0.01</v>
      </c>
      <c r="K87" s="7" t="n">
        <v>0.009999999776482582</v>
      </c>
      <c r="L87" s="4" t="inlineStr">
        <is>
          <t>N/A</t>
        </is>
      </c>
      <c r="M87" s="4" t="inlineStr">
        <is>
          <t>N/A</t>
        </is>
      </c>
      <c r="N87" s="4" t="inlineStr">
        <is>
          <t>N/A</t>
        </is>
      </c>
      <c r="O87" s="4" t="inlineStr">
        <is>
          <t>N/A</t>
        </is>
      </c>
      <c r="P87" s="4" t="inlineStr">
        <is>
          <t>N/A</t>
        </is>
      </c>
      <c r="Q87" s="4" t="inlineStr">
        <is>
          <t>N/A</t>
        </is>
      </c>
      <c r="R87" s="8" t="n">
        <v>46254.03570532407</v>
      </c>
      <c r="S87" s="4" t="inlineStr">
        <is>
          <t>3.0.0</t>
        </is>
      </c>
      <c r="T87" s="4" t="inlineStr">
        <is>
          <t>1.8</t>
        </is>
      </c>
    </row>
    <row r="88">
      <c r="A88" s="4" t="inlineStr">
        <is>
          <t>Grizzly XL YO</t>
        </is>
      </c>
      <c r="B88" s="4" t="inlineStr">
        <is>
          <t>Master Model G10 Grizzly XL_TwoAge_5a_6a_14b_15a_B11</t>
        </is>
      </c>
      <c r="C88" s="4" t="inlineStr">
        <is>
          <t>JAGS_Female_2000</t>
        </is>
      </c>
      <c r="D88" s="5" t="n">
        <v>0.05</v>
      </c>
      <c r="E88" s="4" t="inlineStr">
        <is>
          <t>Variable</t>
        </is>
      </c>
      <c r="F88" s="4" t="inlineStr">
        <is>
          <t>Smoking initiation and cessation variable</t>
        </is>
      </c>
      <c r="G88" s="4" t="inlineStr">
        <is>
          <t>68 - 72</t>
        </is>
      </c>
      <c r="H88" s="4" t="inlineStr">
        <is>
          <t>ALL.T</t>
        </is>
      </c>
      <c r="I88" s="6" t="n">
        <v>784963.442259</v>
      </c>
      <c r="J88" s="7" t="n">
        <v>0.01</v>
      </c>
      <c r="K88" s="7" t="n">
        <v>0.009999999776482582</v>
      </c>
      <c r="L88" s="4" t="inlineStr">
        <is>
          <t>N/A</t>
        </is>
      </c>
      <c r="M88" s="4" t="inlineStr">
        <is>
          <t>N/A</t>
        </is>
      </c>
      <c r="N88" s="4" t="inlineStr">
        <is>
          <t>N/A</t>
        </is>
      </c>
      <c r="O88" s="4" t="inlineStr">
        <is>
          <t>N/A</t>
        </is>
      </c>
      <c r="P88" s="4" t="inlineStr">
        <is>
          <t>N/A</t>
        </is>
      </c>
      <c r="Q88" s="4" t="inlineStr">
        <is>
          <t>N/A</t>
        </is>
      </c>
      <c r="R88" s="8" t="n">
        <v>46254.03570532407</v>
      </c>
      <c r="S88" s="4" t="inlineStr">
        <is>
          <t>3.0.0</t>
        </is>
      </c>
      <c r="T88" s="4" t="inlineStr">
        <is>
          <t>1.8</t>
        </is>
      </c>
    </row>
    <row r="89">
      <c r="A89" s="4" t="inlineStr">
        <is>
          <t>Grizzly XL YO</t>
        </is>
      </c>
      <c r="B89" s="4" t="inlineStr">
        <is>
          <t>Master Model G10 Grizzly XL_TwoAge_5a_6a_14b_15a_B11</t>
        </is>
      </c>
      <c r="C89" s="4" t="inlineStr">
        <is>
          <t>JAGS_Female_2000</t>
        </is>
      </c>
      <c r="D89" s="5" t="n">
        <v>0.1</v>
      </c>
      <c r="E89" s="4" t="inlineStr">
        <is>
          <t>Variable</t>
        </is>
      </c>
      <c r="F89" s="4" t="inlineStr">
        <is>
          <t>Smoking initiation and cessation variable</t>
        </is>
      </c>
      <c r="G89" s="4" t="inlineStr">
        <is>
          <t>68 - 72</t>
        </is>
      </c>
      <c r="H89" s="4" t="inlineStr">
        <is>
          <t>DIFF_ALL</t>
        </is>
      </c>
      <c r="I89" s="6" t="n">
        <v>1.938737</v>
      </c>
      <c r="J89" s="7" t="n">
        <v>0.01</v>
      </c>
      <c r="K89" s="7" t="n">
        <v>0.009999999776482582</v>
      </c>
      <c r="L89" s="4" t="inlineStr">
        <is>
          <t>N/A</t>
        </is>
      </c>
      <c r="M89" s="4" t="inlineStr">
        <is>
          <t>N/A</t>
        </is>
      </c>
      <c r="N89" s="4" t="inlineStr">
        <is>
          <t>N/A</t>
        </is>
      </c>
      <c r="O89" s="4" t="inlineStr">
        <is>
          <t>N/A</t>
        </is>
      </c>
      <c r="P89" s="4" t="inlineStr">
        <is>
          <t>N/A</t>
        </is>
      </c>
      <c r="Q89" s="4" t="inlineStr">
        <is>
          <t>N/A</t>
        </is>
      </c>
      <c r="R89" s="8" t="n">
        <v>46254.03570532407</v>
      </c>
      <c r="S89" s="4" t="inlineStr">
        <is>
          <t>3.0.0</t>
        </is>
      </c>
      <c r="T89" s="4" t="inlineStr">
        <is>
          <t>1.8</t>
        </is>
      </c>
    </row>
    <row r="90">
      <c r="A90" s="4" t="inlineStr">
        <is>
          <t>Grizzly XL YO</t>
        </is>
      </c>
      <c r="B90" s="4" t="inlineStr">
        <is>
          <t>Master Model G10 Grizzly XL_TwoAge_5a_6a_14b_15a_B11</t>
        </is>
      </c>
      <c r="C90" s="4" t="inlineStr">
        <is>
          <t>JAGS_Female_2000</t>
        </is>
      </c>
      <c r="D90" s="5" t="n">
        <v>0.1</v>
      </c>
      <c r="E90" s="4" t="inlineStr">
        <is>
          <t>Variable</t>
        </is>
      </c>
      <c r="F90" s="4" t="inlineStr">
        <is>
          <t>Smoking initiation and cessation variable</t>
        </is>
      </c>
      <c r="G90" s="4" t="inlineStr">
        <is>
          <t>68 - 72</t>
        </is>
      </c>
      <c r="H90" s="4" t="inlineStr">
        <is>
          <t>ALL.T</t>
        </is>
      </c>
      <c r="I90" s="6" t="n">
        <v>784963.248161</v>
      </c>
      <c r="J90" s="7" t="n">
        <v>0.01</v>
      </c>
      <c r="K90" s="7" t="n">
        <v>0.009999999776482582</v>
      </c>
      <c r="L90" s="4" t="inlineStr">
        <is>
          <t>N/A</t>
        </is>
      </c>
      <c r="M90" s="4" t="inlineStr">
        <is>
          <t>N/A</t>
        </is>
      </c>
      <c r="N90" s="4" t="inlineStr">
        <is>
          <t>N/A</t>
        </is>
      </c>
      <c r="O90" s="4" t="inlineStr">
        <is>
          <t>N/A</t>
        </is>
      </c>
      <c r="P90" s="4" t="inlineStr">
        <is>
          <t>N/A</t>
        </is>
      </c>
      <c r="Q90" s="4" t="inlineStr">
        <is>
          <t>N/A</t>
        </is>
      </c>
      <c r="R90" s="8" t="n">
        <v>46254.03570532407</v>
      </c>
      <c r="S90" s="4" t="inlineStr">
        <is>
          <t>3.0.0</t>
        </is>
      </c>
      <c r="T90" s="4" t="inlineStr">
        <is>
          <t>1.8</t>
        </is>
      </c>
    </row>
    <row r="91">
      <c r="A91" s="4" t="inlineStr">
        <is>
          <t>Grizzly XL YO</t>
        </is>
      </c>
      <c r="B91" s="4" t="inlineStr">
        <is>
          <t>Master Model G25 Grizzly XL_TwoAge_5a_6a_14b_15a_B01</t>
        </is>
      </c>
      <c r="C91" s="4" t="inlineStr">
        <is>
          <t>JAGS_Male_2000</t>
        </is>
      </c>
      <c r="D91" s="5" t="n">
        <v>0.05</v>
      </c>
      <c r="E91" s="4" t="inlineStr">
        <is>
          <t>Variable</t>
        </is>
      </c>
      <c r="F91" s="4" t="inlineStr">
        <is>
          <t>Smoking initiation and cessation variable</t>
        </is>
      </c>
      <c r="G91" s="4" t="inlineStr">
        <is>
          <t>68 - 72</t>
        </is>
      </c>
      <c r="H91" s="4" t="inlineStr">
        <is>
          <t>DIFF_ALL</t>
        </is>
      </c>
      <c r="I91" s="6" t="n">
        <v>2259.575525</v>
      </c>
      <c r="J91" s="7" t="n">
        <v>0.01</v>
      </c>
      <c r="K91" s="7" t="n">
        <v>0.009999999776482582</v>
      </c>
      <c r="L91" s="4" t="inlineStr">
        <is>
          <t>N/A</t>
        </is>
      </c>
      <c r="M91" s="4" t="inlineStr">
        <is>
          <t>N/A</t>
        </is>
      </c>
      <c r="N91" s="4" t="inlineStr">
        <is>
          <t>N/A</t>
        </is>
      </c>
      <c r="O91" s="4" t="inlineStr">
        <is>
          <t>N/A</t>
        </is>
      </c>
      <c r="P91" s="4" t="inlineStr">
        <is>
          <t>N/A</t>
        </is>
      </c>
      <c r="Q91" s="4" t="inlineStr">
        <is>
          <t>N/A</t>
        </is>
      </c>
      <c r="R91" s="8" t="n">
        <v>46254.68778043982</v>
      </c>
      <c r="S91" s="4" t="inlineStr">
        <is>
          <t>3.0.0</t>
        </is>
      </c>
      <c r="T91" s="4" t="inlineStr">
        <is>
          <t>1.8</t>
        </is>
      </c>
    </row>
    <row r="92">
      <c r="A92" s="4" t="inlineStr">
        <is>
          <t>Grizzly XL YO</t>
        </is>
      </c>
      <c r="B92" s="4" t="inlineStr">
        <is>
          <t>Master Model G25 Grizzly XL_TwoAge_5a_6a_14b_15a_B01</t>
        </is>
      </c>
      <c r="C92" s="4" t="inlineStr">
        <is>
          <t>JAGS_Male_2000</t>
        </is>
      </c>
      <c r="D92" s="5" t="n">
        <v>0.05</v>
      </c>
      <c r="E92" s="4" t="inlineStr">
        <is>
          <t>Variable</t>
        </is>
      </c>
      <c r="F92" s="4" t="inlineStr">
        <is>
          <t>Smoking initiation and cessation variable</t>
        </is>
      </c>
      <c r="G92" s="4" t="inlineStr">
        <is>
          <t>68 - 72</t>
        </is>
      </c>
      <c r="H92" s="4" t="inlineStr">
        <is>
          <t>ALL.T</t>
        </is>
      </c>
      <c r="I92" s="6" t="n">
        <v>681025.104172</v>
      </c>
      <c r="J92" s="7" t="n">
        <v>0.01</v>
      </c>
      <c r="K92" s="7" t="n">
        <v>0.009999999776482582</v>
      </c>
      <c r="L92" s="4" t="inlineStr">
        <is>
          <t>N/A</t>
        </is>
      </c>
      <c r="M92" s="4" t="inlineStr">
        <is>
          <t>N/A</t>
        </is>
      </c>
      <c r="N92" s="4" t="inlineStr">
        <is>
          <t>N/A</t>
        </is>
      </c>
      <c r="O92" s="4" t="inlineStr">
        <is>
          <t>N/A</t>
        </is>
      </c>
      <c r="P92" s="4" t="inlineStr">
        <is>
          <t>N/A</t>
        </is>
      </c>
      <c r="Q92" s="4" t="inlineStr">
        <is>
          <t>N/A</t>
        </is>
      </c>
      <c r="R92" s="8" t="n">
        <v>46254.68778043982</v>
      </c>
      <c r="S92" s="4" t="inlineStr">
        <is>
          <t>3.0.0</t>
        </is>
      </c>
      <c r="T92" s="4" t="inlineStr">
        <is>
          <t>1.8</t>
        </is>
      </c>
    </row>
    <row r="93">
      <c r="A93" s="4" t="inlineStr">
        <is>
          <t>Grizzly XL YO</t>
        </is>
      </c>
      <c r="B93" s="4" t="inlineStr">
        <is>
          <t>Master Model G25 Grizzly XL_TwoAge_5a_6a_14b_15a_B01</t>
        </is>
      </c>
      <c r="C93" s="4" t="inlineStr">
        <is>
          <t>JAGS_Male_2000</t>
        </is>
      </c>
      <c r="D93" s="5" t="n">
        <v>0.1</v>
      </c>
      <c r="E93" s="4" t="inlineStr">
        <is>
          <t>Variable</t>
        </is>
      </c>
      <c r="F93" s="4" t="inlineStr">
        <is>
          <t>Smoking initiation and cessation variable</t>
        </is>
      </c>
      <c r="G93" s="4" t="inlineStr">
        <is>
          <t>68 - 72</t>
        </is>
      </c>
      <c r="H93" s="4" t="inlineStr">
        <is>
          <t>DIFF_ALL</t>
        </is>
      </c>
      <c r="I93" s="6" t="n">
        <v>1697.035231</v>
      </c>
      <c r="J93" s="7" t="n">
        <v>0.01</v>
      </c>
      <c r="K93" s="7" t="n">
        <v>0.009999999776482582</v>
      </c>
      <c r="L93" s="4" t="inlineStr">
        <is>
          <t>N/A</t>
        </is>
      </c>
      <c r="M93" s="4" t="inlineStr">
        <is>
          <t>N/A</t>
        </is>
      </c>
      <c r="N93" s="4" t="inlineStr">
        <is>
          <t>N/A</t>
        </is>
      </c>
      <c r="O93" s="4" t="inlineStr">
        <is>
          <t>N/A</t>
        </is>
      </c>
      <c r="P93" s="4" t="inlineStr">
        <is>
          <t>N/A</t>
        </is>
      </c>
      <c r="Q93" s="4" t="inlineStr">
        <is>
          <t>N/A</t>
        </is>
      </c>
      <c r="R93" s="8" t="n">
        <v>46254.68778043982</v>
      </c>
      <c r="S93" s="4" t="inlineStr">
        <is>
          <t>3.0.0</t>
        </is>
      </c>
      <c r="T93" s="4" t="inlineStr">
        <is>
          <t>1.8</t>
        </is>
      </c>
    </row>
    <row r="94">
      <c r="A94" s="4" t="inlineStr">
        <is>
          <t>Grizzly XL YO</t>
        </is>
      </c>
      <c r="B94" s="4" t="inlineStr">
        <is>
          <t>Master Model G25 Grizzly XL_TwoAge_5a_6a_14b_15a_B01</t>
        </is>
      </c>
      <c r="C94" s="4" t="inlineStr">
        <is>
          <t>JAGS_Male_2000</t>
        </is>
      </c>
      <c r="D94" s="5" t="n">
        <v>0.1</v>
      </c>
      <c r="E94" s="4" t="inlineStr">
        <is>
          <t>Variable</t>
        </is>
      </c>
      <c r="F94" s="4" t="inlineStr">
        <is>
          <t>Smoking initiation and cessation variable</t>
        </is>
      </c>
      <c r="G94" s="4" t="inlineStr">
        <is>
          <t>68 - 72</t>
        </is>
      </c>
      <c r="H94" s="4" t="inlineStr">
        <is>
          <t>ALL.T</t>
        </is>
      </c>
      <c r="I94" s="6" t="n">
        <v>680462.563877</v>
      </c>
      <c r="J94" s="7" t="n">
        <v>0.01</v>
      </c>
      <c r="K94" s="7" t="n">
        <v>0.009999999776482582</v>
      </c>
      <c r="L94" s="4" t="inlineStr">
        <is>
          <t>N/A</t>
        </is>
      </c>
      <c r="M94" s="4" t="inlineStr">
        <is>
          <t>N/A</t>
        </is>
      </c>
      <c r="N94" s="4" t="inlineStr">
        <is>
          <t>N/A</t>
        </is>
      </c>
      <c r="O94" s="4" t="inlineStr">
        <is>
          <t>N/A</t>
        </is>
      </c>
      <c r="P94" s="4" t="inlineStr">
        <is>
          <t>N/A</t>
        </is>
      </c>
      <c r="Q94" s="4" t="inlineStr">
        <is>
          <t>N/A</t>
        </is>
      </c>
      <c r="R94" s="8" t="n">
        <v>46254.68778043982</v>
      </c>
      <c r="S94" s="4" t="inlineStr">
        <is>
          <t>3.0.0</t>
        </is>
      </c>
      <c r="T94" s="4" t="inlineStr">
        <is>
          <t>1.8</t>
        </is>
      </c>
    </row>
    <row r="95">
      <c r="A95" s="4" t="inlineStr">
        <is>
          <t>Grizzly XL YO</t>
        </is>
      </c>
      <c r="B95" s="4" t="inlineStr">
        <is>
          <t>Master Model G25 Grizzly XL_TwoAge_5a_6a_14b_15a_B01</t>
        </is>
      </c>
      <c r="C95" s="4" t="inlineStr">
        <is>
          <t>JAGS_Female_2000</t>
        </is>
      </c>
      <c r="D95" s="5" t="n">
        <v>0.05</v>
      </c>
      <c r="E95" s="4" t="inlineStr">
        <is>
          <t>Variable</t>
        </is>
      </c>
      <c r="F95" s="4" t="inlineStr">
        <is>
          <t>Smoking initiation and cessation variable</t>
        </is>
      </c>
      <c r="G95" s="4" t="inlineStr">
        <is>
          <t>68 - 72</t>
        </is>
      </c>
      <c r="H95" s="4" t="inlineStr">
        <is>
          <t>DIFF_ALL</t>
        </is>
      </c>
      <c r="I95" s="6" t="n">
        <v>1916.45182</v>
      </c>
      <c r="J95" s="7" t="n">
        <v>0.01</v>
      </c>
      <c r="K95" s="7" t="n">
        <v>0.009999999776482582</v>
      </c>
      <c r="L95" s="4" t="inlineStr">
        <is>
          <t>N/A</t>
        </is>
      </c>
      <c r="M95" s="4" t="inlineStr">
        <is>
          <t>N/A</t>
        </is>
      </c>
      <c r="N95" s="4" t="inlineStr">
        <is>
          <t>N/A</t>
        </is>
      </c>
      <c r="O95" s="4" t="inlineStr">
        <is>
          <t>N/A</t>
        </is>
      </c>
      <c r="P95" s="4" t="inlineStr">
        <is>
          <t>N/A</t>
        </is>
      </c>
      <c r="Q95" s="4" t="inlineStr">
        <is>
          <t>N/A</t>
        </is>
      </c>
      <c r="R95" s="8" t="n">
        <v>46254.68778043982</v>
      </c>
      <c r="S95" s="4" t="inlineStr">
        <is>
          <t>3.0.0</t>
        </is>
      </c>
      <c r="T95" s="4" t="inlineStr">
        <is>
          <t>1.8</t>
        </is>
      </c>
    </row>
    <row r="96">
      <c r="A96" s="4" t="inlineStr">
        <is>
          <t>Grizzly XL YO</t>
        </is>
      </c>
      <c r="B96" s="4" t="inlineStr">
        <is>
          <t>Master Model G25 Grizzly XL_TwoAge_5a_6a_14b_15a_B01</t>
        </is>
      </c>
      <c r="C96" s="4" t="inlineStr">
        <is>
          <t>JAGS_Female_2000</t>
        </is>
      </c>
      <c r="D96" s="5" t="n">
        <v>0.05</v>
      </c>
      <c r="E96" s="4" t="inlineStr">
        <is>
          <t>Variable</t>
        </is>
      </c>
      <c r="F96" s="4" t="inlineStr">
        <is>
          <t>Smoking initiation and cessation variable</t>
        </is>
      </c>
      <c r="G96" s="4" t="inlineStr">
        <is>
          <t>68 - 72</t>
        </is>
      </c>
      <c r="H96" s="4" t="inlineStr">
        <is>
          <t>ALL.T</t>
        </is>
      </c>
      <c r="I96" s="6" t="n">
        <v>786877.7612440001</v>
      </c>
      <c r="J96" s="7" t="n">
        <v>0.01</v>
      </c>
      <c r="K96" s="7" t="n">
        <v>0.009999999776482582</v>
      </c>
      <c r="L96" s="4" t="inlineStr">
        <is>
          <t>N/A</t>
        </is>
      </c>
      <c r="M96" s="4" t="inlineStr">
        <is>
          <t>N/A</t>
        </is>
      </c>
      <c r="N96" s="4" t="inlineStr">
        <is>
          <t>N/A</t>
        </is>
      </c>
      <c r="O96" s="4" t="inlineStr">
        <is>
          <t>N/A</t>
        </is>
      </c>
      <c r="P96" s="4" t="inlineStr">
        <is>
          <t>N/A</t>
        </is>
      </c>
      <c r="Q96" s="4" t="inlineStr">
        <is>
          <t>N/A</t>
        </is>
      </c>
      <c r="R96" s="8" t="n">
        <v>46254.68778043982</v>
      </c>
      <c r="S96" s="4" t="inlineStr">
        <is>
          <t>3.0.0</t>
        </is>
      </c>
      <c r="T96" s="4" t="inlineStr">
        <is>
          <t>1.8</t>
        </is>
      </c>
    </row>
    <row r="97">
      <c r="A97" s="4" t="inlineStr">
        <is>
          <t>Grizzly XL YO</t>
        </is>
      </c>
      <c r="B97" s="4" t="inlineStr">
        <is>
          <t>Master Model G25 Grizzly XL_TwoAge_5a_6a_14b_15a_B01</t>
        </is>
      </c>
      <c r="C97" s="4" t="inlineStr">
        <is>
          <t>JAGS_Female_2000</t>
        </is>
      </c>
      <c r="D97" s="5" t="n">
        <v>0.1</v>
      </c>
      <c r="E97" s="4" t="inlineStr">
        <is>
          <t>Variable</t>
        </is>
      </c>
      <c r="F97" s="4" t="inlineStr">
        <is>
          <t>Smoking initiation and cessation variable</t>
        </is>
      </c>
      <c r="G97" s="4" t="inlineStr">
        <is>
          <t>68 - 72</t>
        </is>
      </c>
      <c r="H97" s="4" t="inlineStr">
        <is>
          <t>DIFF_ALL</t>
        </is>
      </c>
      <c r="I97" s="6" t="n">
        <v>1462.06035</v>
      </c>
      <c r="J97" s="7" t="n">
        <v>0.01</v>
      </c>
      <c r="K97" s="7" t="n">
        <v>0.009999999776482582</v>
      </c>
      <c r="L97" s="4" t="inlineStr">
        <is>
          <t>N/A</t>
        </is>
      </c>
      <c r="M97" s="4" t="inlineStr">
        <is>
          <t>N/A</t>
        </is>
      </c>
      <c r="N97" s="4" t="inlineStr">
        <is>
          <t>N/A</t>
        </is>
      </c>
      <c r="O97" s="4" t="inlineStr">
        <is>
          <t>N/A</t>
        </is>
      </c>
      <c r="P97" s="4" t="inlineStr">
        <is>
          <t>N/A</t>
        </is>
      </c>
      <c r="Q97" s="4" t="inlineStr">
        <is>
          <t>N/A</t>
        </is>
      </c>
      <c r="R97" s="8" t="n">
        <v>46254.68778043982</v>
      </c>
      <c r="S97" s="4" t="inlineStr">
        <is>
          <t>3.0.0</t>
        </is>
      </c>
      <c r="T97" s="4" t="inlineStr">
        <is>
          <t>1.8</t>
        </is>
      </c>
    </row>
    <row r="98">
      <c r="A98" s="4" t="inlineStr">
        <is>
          <t>Grizzly XL YO</t>
        </is>
      </c>
      <c r="B98" s="4" t="inlineStr">
        <is>
          <t>Master Model G25 Grizzly XL_TwoAge_5a_6a_14b_15a_B01</t>
        </is>
      </c>
      <c r="C98" s="4" t="inlineStr">
        <is>
          <t>JAGS_Female_2000</t>
        </is>
      </c>
      <c r="D98" s="5" t="n">
        <v>0.1</v>
      </c>
      <c r="E98" s="4" t="inlineStr">
        <is>
          <t>Variable</t>
        </is>
      </c>
      <c r="F98" s="4" t="inlineStr">
        <is>
          <t>Smoking initiation and cessation variable</t>
        </is>
      </c>
      <c r="G98" s="4" t="inlineStr">
        <is>
          <t>68 - 72</t>
        </is>
      </c>
      <c r="H98" s="4" t="inlineStr">
        <is>
          <t>ALL.T</t>
        </is>
      </c>
      <c r="I98" s="6" t="n">
        <v>786423.369773</v>
      </c>
      <c r="J98" s="7" t="n">
        <v>0.01</v>
      </c>
      <c r="K98" s="7" t="n">
        <v>0.009999999776482582</v>
      </c>
      <c r="L98" s="4" t="inlineStr">
        <is>
          <t>N/A</t>
        </is>
      </c>
      <c r="M98" s="4" t="inlineStr">
        <is>
          <t>N/A</t>
        </is>
      </c>
      <c r="N98" s="4" t="inlineStr">
        <is>
          <t>N/A</t>
        </is>
      </c>
      <c r="O98" s="4" t="inlineStr">
        <is>
          <t>N/A</t>
        </is>
      </c>
      <c r="P98" s="4" t="inlineStr">
        <is>
          <t>N/A</t>
        </is>
      </c>
      <c r="Q98" s="4" t="inlineStr">
        <is>
          <t>N/A</t>
        </is>
      </c>
      <c r="R98" s="8" t="n">
        <v>46254.68778043982</v>
      </c>
      <c r="S98" s="4" t="inlineStr">
        <is>
          <t>3.0.0</t>
        </is>
      </c>
      <c r="T98" s="4" t="inlineStr">
        <is>
          <t>1.8</t>
        </is>
      </c>
    </row>
    <row r="99">
      <c r="A99" s="4" t="inlineStr">
        <is>
          <t>Grizzly XL YO</t>
        </is>
      </c>
      <c r="B99" s="4" t="inlineStr">
        <is>
          <t>Master Model G25 Grizzly XL_TwoAge_5a_6a_14b_15a_B02</t>
        </is>
      </c>
      <c r="C99" s="4" t="inlineStr">
        <is>
          <t>JAGS_Male_2000</t>
        </is>
      </c>
      <c r="D99" s="5" t="n">
        <v>0.05</v>
      </c>
      <c r="E99" s="4" t="inlineStr">
        <is>
          <t>Variable</t>
        </is>
      </c>
      <c r="F99" s="4" t="inlineStr">
        <is>
          <t>Smoking initiation and cessation variable</t>
        </is>
      </c>
      <c r="G99" s="4" t="inlineStr">
        <is>
          <t>68 - 72</t>
        </is>
      </c>
      <c r="H99" s="4" t="inlineStr">
        <is>
          <t>DIFF_ALL</t>
        </is>
      </c>
      <c r="I99" s="6" t="n">
        <v>2084.673618</v>
      </c>
      <c r="J99" s="7" t="n">
        <v>0.01</v>
      </c>
      <c r="K99" s="7" t="n">
        <v>0.009999999776482582</v>
      </c>
      <c r="L99" s="4" t="inlineStr">
        <is>
          <t>N/A</t>
        </is>
      </c>
      <c r="M99" s="4" t="inlineStr">
        <is>
          <t>N/A</t>
        </is>
      </c>
      <c r="N99" s="4" t="inlineStr">
        <is>
          <t>N/A</t>
        </is>
      </c>
      <c r="O99" s="4" t="inlineStr">
        <is>
          <t>N/A</t>
        </is>
      </c>
      <c r="P99" s="4" t="inlineStr">
        <is>
          <t>N/A</t>
        </is>
      </c>
      <c r="Q99" s="4" t="inlineStr">
        <is>
          <t>N/A</t>
        </is>
      </c>
      <c r="R99" s="8" t="n">
        <v>46254.68778045139</v>
      </c>
      <c r="S99" s="4" t="inlineStr">
        <is>
          <t>3.0.0</t>
        </is>
      </c>
      <c r="T99" s="4" t="inlineStr">
        <is>
          <t>1.8</t>
        </is>
      </c>
    </row>
    <row r="100">
      <c r="A100" s="4" t="inlineStr">
        <is>
          <t>Grizzly XL YO</t>
        </is>
      </c>
      <c r="B100" s="4" t="inlineStr">
        <is>
          <t>Master Model G25 Grizzly XL_TwoAge_5a_6a_14b_15a_B02</t>
        </is>
      </c>
      <c r="C100" s="4" t="inlineStr">
        <is>
          <t>JAGS_Male_2000</t>
        </is>
      </c>
      <c r="D100" s="5" t="n">
        <v>0.05</v>
      </c>
      <c r="E100" s="4" t="inlineStr">
        <is>
          <t>Variable</t>
        </is>
      </c>
      <c r="F100" s="4" t="inlineStr">
        <is>
          <t>Smoking initiation and cessation variable</t>
        </is>
      </c>
      <c r="G100" s="4" t="inlineStr">
        <is>
          <t>68 - 72</t>
        </is>
      </c>
      <c r="H100" s="4" t="inlineStr">
        <is>
          <t>ALL.T</t>
        </is>
      </c>
      <c r="I100" s="6" t="n">
        <v>680850.202264</v>
      </c>
      <c r="J100" s="7" t="n">
        <v>0.01</v>
      </c>
      <c r="K100" s="7" t="n">
        <v>0.009999999776482582</v>
      </c>
      <c r="L100" s="4" t="inlineStr">
        <is>
          <t>N/A</t>
        </is>
      </c>
      <c r="M100" s="4" t="inlineStr">
        <is>
          <t>N/A</t>
        </is>
      </c>
      <c r="N100" s="4" t="inlineStr">
        <is>
          <t>N/A</t>
        </is>
      </c>
      <c r="O100" s="4" t="inlineStr">
        <is>
          <t>N/A</t>
        </is>
      </c>
      <c r="P100" s="4" t="inlineStr">
        <is>
          <t>N/A</t>
        </is>
      </c>
      <c r="Q100" s="4" t="inlineStr">
        <is>
          <t>N/A</t>
        </is>
      </c>
      <c r="R100" s="8" t="n">
        <v>46254.68778045139</v>
      </c>
      <c r="S100" s="4" t="inlineStr">
        <is>
          <t>3.0.0</t>
        </is>
      </c>
      <c r="T100" s="4" t="inlineStr">
        <is>
          <t>1.8</t>
        </is>
      </c>
    </row>
    <row r="101">
      <c r="A101" s="4" t="inlineStr">
        <is>
          <t>Grizzly XL YO</t>
        </is>
      </c>
      <c r="B101" s="4" t="inlineStr">
        <is>
          <t>Master Model G25 Grizzly XL_TwoAge_5a_6a_14b_15a_B02</t>
        </is>
      </c>
      <c r="C101" s="4" t="inlineStr">
        <is>
          <t>JAGS_Male_2000</t>
        </is>
      </c>
      <c r="D101" s="5" t="n">
        <v>0.1</v>
      </c>
      <c r="E101" s="4" t="inlineStr">
        <is>
          <t>Variable</t>
        </is>
      </c>
      <c r="F101" s="4" t="inlineStr">
        <is>
          <t>Smoking initiation and cessation variable</t>
        </is>
      </c>
      <c r="G101" s="4" t="inlineStr">
        <is>
          <t>68 - 72</t>
        </is>
      </c>
      <c r="H101" s="4" t="inlineStr">
        <is>
          <t>DIFF_ALL</t>
        </is>
      </c>
      <c r="I101" s="6" t="n">
        <v>1646.966458</v>
      </c>
      <c r="J101" s="7" t="n">
        <v>0.01</v>
      </c>
      <c r="K101" s="7" t="n">
        <v>0.009999999776482582</v>
      </c>
      <c r="L101" s="4" t="inlineStr">
        <is>
          <t>N/A</t>
        </is>
      </c>
      <c r="M101" s="4" t="inlineStr">
        <is>
          <t>N/A</t>
        </is>
      </c>
      <c r="N101" s="4" t="inlineStr">
        <is>
          <t>N/A</t>
        </is>
      </c>
      <c r="O101" s="4" t="inlineStr">
        <is>
          <t>N/A</t>
        </is>
      </c>
      <c r="P101" s="4" t="inlineStr">
        <is>
          <t>N/A</t>
        </is>
      </c>
      <c r="Q101" s="4" t="inlineStr">
        <is>
          <t>N/A</t>
        </is>
      </c>
      <c r="R101" s="8" t="n">
        <v>46254.68778045139</v>
      </c>
      <c r="S101" s="4" t="inlineStr">
        <is>
          <t>3.0.0</t>
        </is>
      </c>
      <c r="T101" s="4" t="inlineStr">
        <is>
          <t>1.8</t>
        </is>
      </c>
    </row>
    <row r="102">
      <c r="A102" s="4" t="inlineStr">
        <is>
          <t>Grizzly XL YO</t>
        </is>
      </c>
      <c r="B102" s="4" t="inlineStr">
        <is>
          <t>Master Model G25 Grizzly XL_TwoAge_5a_6a_14b_15a_B02</t>
        </is>
      </c>
      <c r="C102" s="4" t="inlineStr">
        <is>
          <t>JAGS_Male_2000</t>
        </is>
      </c>
      <c r="D102" s="5" t="n">
        <v>0.1</v>
      </c>
      <c r="E102" s="4" t="inlineStr">
        <is>
          <t>Variable</t>
        </is>
      </c>
      <c r="F102" s="4" t="inlineStr">
        <is>
          <t>Smoking initiation and cessation variable</t>
        </is>
      </c>
      <c r="G102" s="4" t="inlineStr">
        <is>
          <t>68 - 72</t>
        </is>
      </c>
      <c r="H102" s="4" t="inlineStr">
        <is>
          <t>ALL.T</t>
        </is>
      </c>
      <c r="I102" s="6" t="n">
        <v>680412.495105</v>
      </c>
      <c r="J102" s="7" t="n">
        <v>0.01</v>
      </c>
      <c r="K102" s="7" t="n">
        <v>0.009999999776482582</v>
      </c>
      <c r="L102" s="4" t="inlineStr">
        <is>
          <t>N/A</t>
        </is>
      </c>
      <c r="M102" s="4" t="inlineStr">
        <is>
          <t>N/A</t>
        </is>
      </c>
      <c r="N102" s="4" t="inlineStr">
        <is>
          <t>N/A</t>
        </is>
      </c>
      <c r="O102" s="4" t="inlineStr">
        <is>
          <t>N/A</t>
        </is>
      </c>
      <c r="P102" s="4" t="inlineStr">
        <is>
          <t>N/A</t>
        </is>
      </c>
      <c r="Q102" s="4" t="inlineStr">
        <is>
          <t>N/A</t>
        </is>
      </c>
      <c r="R102" s="8" t="n">
        <v>46254.68778045139</v>
      </c>
      <c r="S102" s="4" t="inlineStr">
        <is>
          <t>3.0.0</t>
        </is>
      </c>
      <c r="T102" s="4" t="inlineStr">
        <is>
          <t>1.8</t>
        </is>
      </c>
    </row>
    <row r="103">
      <c r="A103" s="4" t="inlineStr">
        <is>
          <t>Grizzly XL YO</t>
        </is>
      </c>
      <c r="B103" s="4" t="inlineStr">
        <is>
          <t>Master Model G25 Grizzly XL_TwoAge_5a_6a_14b_15a_B02</t>
        </is>
      </c>
      <c r="C103" s="4" t="inlineStr">
        <is>
          <t>JAGS_Female_2000</t>
        </is>
      </c>
      <c r="D103" s="5" t="n">
        <v>0.05</v>
      </c>
      <c r="E103" s="4" t="inlineStr">
        <is>
          <t>Variable</t>
        </is>
      </c>
      <c r="F103" s="4" t="inlineStr">
        <is>
          <t>Smoking initiation and cessation variable</t>
        </is>
      </c>
      <c r="G103" s="4" t="inlineStr">
        <is>
          <t>68 - 72</t>
        </is>
      </c>
      <c r="H103" s="4" t="inlineStr">
        <is>
          <t>DIFF_ALL</t>
        </is>
      </c>
      <c r="I103" s="6" t="n">
        <v>1737.054831</v>
      </c>
      <c r="J103" s="7" t="n">
        <v>0.01</v>
      </c>
      <c r="K103" s="7" t="n">
        <v>0.009999999776482582</v>
      </c>
      <c r="L103" s="4" t="inlineStr">
        <is>
          <t>N/A</t>
        </is>
      </c>
      <c r="M103" s="4" t="inlineStr">
        <is>
          <t>N/A</t>
        </is>
      </c>
      <c r="N103" s="4" t="inlineStr">
        <is>
          <t>N/A</t>
        </is>
      </c>
      <c r="O103" s="4" t="inlineStr">
        <is>
          <t>N/A</t>
        </is>
      </c>
      <c r="P103" s="4" t="inlineStr">
        <is>
          <t>N/A</t>
        </is>
      </c>
      <c r="Q103" s="4" t="inlineStr">
        <is>
          <t>N/A</t>
        </is>
      </c>
      <c r="R103" s="8" t="n">
        <v>46254.68778045139</v>
      </c>
      <c r="S103" s="4" t="inlineStr">
        <is>
          <t>3.0.0</t>
        </is>
      </c>
      <c r="T103" s="4" t="inlineStr">
        <is>
          <t>1.8</t>
        </is>
      </c>
    </row>
    <row r="104">
      <c r="A104" s="4" t="inlineStr">
        <is>
          <t>Grizzly XL YO</t>
        </is>
      </c>
      <c r="B104" s="4" t="inlineStr">
        <is>
          <t>Master Model G25 Grizzly XL_TwoAge_5a_6a_14b_15a_B02</t>
        </is>
      </c>
      <c r="C104" s="4" t="inlineStr">
        <is>
          <t>JAGS_Female_2000</t>
        </is>
      </c>
      <c r="D104" s="5" t="n">
        <v>0.05</v>
      </c>
      <c r="E104" s="4" t="inlineStr">
        <is>
          <t>Variable</t>
        </is>
      </c>
      <c r="F104" s="4" t="inlineStr">
        <is>
          <t>Smoking initiation and cessation variable</t>
        </is>
      </c>
      <c r="G104" s="4" t="inlineStr">
        <is>
          <t>68 - 72</t>
        </is>
      </c>
      <c r="H104" s="4" t="inlineStr">
        <is>
          <t>ALL.T</t>
        </is>
      </c>
      <c r="I104" s="6" t="n">
        <v>786698.364254</v>
      </c>
      <c r="J104" s="7" t="n">
        <v>0.01</v>
      </c>
      <c r="K104" s="7" t="n">
        <v>0.009999999776482582</v>
      </c>
      <c r="L104" s="4" t="inlineStr">
        <is>
          <t>N/A</t>
        </is>
      </c>
      <c r="M104" s="4" t="inlineStr">
        <is>
          <t>N/A</t>
        </is>
      </c>
      <c r="N104" s="4" t="inlineStr">
        <is>
          <t>N/A</t>
        </is>
      </c>
      <c r="O104" s="4" t="inlineStr">
        <is>
          <t>N/A</t>
        </is>
      </c>
      <c r="P104" s="4" t="inlineStr">
        <is>
          <t>N/A</t>
        </is>
      </c>
      <c r="Q104" s="4" t="inlineStr">
        <is>
          <t>N/A</t>
        </is>
      </c>
      <c r="R104" s="8" t="n">
        <v>46254.68778045139</v>
      </c>
      <c r="S104" s="4" t="inlineStr">
        <is>
          <t>3.0.0</t>
        </is>
      </c>
      <c r="T104" s="4" t="inlineStr">
        <is>
          <t>1.8</t>
        </is>
      </c>
    </row>
    <row r="105">
      <c r="A105" s="4" t="inlineStr">
        <is>
          <t>Grizzly XL YO</t>
        </is>
      </c>
      <c r="B105" s="4" t="inlineStr">
        <is>
          <t>Master Model G25 Grizzly XL_TwoAge_5a_6a_14b_15a_B02</t>
        </is>
      </c>
      <c r="C105" s="4" t="inlineStr">
        <is>
          <t>JAGS_Female_2000</t>
        </is>
      </c>
      <c r="D105" s="5" t="n">
        <v>0.1</v>
      </c>
      <c r="E105" s="4" t="inlineStr">
        <is>
          <t>Variable</t>
        </is>
      </c>
      <c r="F105" s="4" t="inlineStr">
        <is>
          <t>Smoking initiation and cessation variable</t>
        </is>
      </c>
      <c r="G105" s="4" t="inlineStr">
        <is>
          <t>68 - 72</t>
        </is>
      </c>
      <c r="H105" s="4" t="inlineStr">
        <is>
          <t>DIFF_ALL</t>
        </is>
      </c>
      <c r="I105" s="6" t="n">
        <v>1385.859415</v>
      </c>
      <c r="J105" s="7" t="n">
        <v>0.01</v>
      </c>
      <c r="K105" s="7" t="n">
        <v>0.009999999776482582</v>
      </c>
      <c r="L105" s="4" t="inlineStr">
        <is>
          <t>N/A</t>
        </is>
      </c>
      <c r="M105" s="4" t="inlineStr">
        <is>
          <t>N/A</t>
        </is>
      </c>
      <c r="N105" s="4" t="inlineStr">
        <is>
          <t>N/A</t>
        </is>
      </c>
      <c r="O105" s="4" t="inlineStr">
        <is>
          <t>N/A</t>
        </is>
      </c>
      <c r="P105" s="4" t="inlineStr">
        <is>
          <t>N/A</t>
        </is>
      </c>
      <c r="Q105" s="4" t="inlineStr">
        <is>
          <t>N/A</t>
        </is>
      </c>
      <c r="R105" s="8" t="n">
        <v>46254.68778045139</v>
      </c>
      <c r="S105" s="4" t="inlineStr">
        <is>
          <t>3.0.0</t>
        </is>
      </c>
      <c r="T105" s="4" t="inlineStr">
        <is>
          <t>1.8</t>
        </is>
      </c>
    </row>
    <row r="106">
      <c r="A106" s="4" t="inlineStr">
        <is>
          <t>Grizzly XL YO</t>
        </is>
      </c>
      <c r="B106" s="4" t="inlineStr">
        <is>
          <t>Master Model G25 Grizzly XL_TwoAge_5a_6a_14b_15a_B02</t>
        </is>
      </c>
      <c r="C106" s="4" t="inlineStr">
        <is>
          <t>JAGS_Female_2000</t>
        </is>
      </c>
      <c r="D106" s="5" t="n">
        <v>0.1</v>
      </c>
      <c r="E106" s="4" t="inlineStr">
        <is>
          <t>Variable</t>
        </is>
      </c>
      <c r="F106" s="4" t="inlineStr">
        <is>
          <t>Smoking initiation and cessation variable</t>
        </is>
      </c>
      <c r="G106" s="4" t="inlineStr">
        <is>
          <t>68 - 72</t>
        </is>
      </c>
      <c r="H106" s="4" t="inlineStr">
        <is>
          <t>ALL.T</t>
        </is>
      </c>
      <c r="I106" s="6" t="n">
        <v>786347.168839</v>
      </c>
      <c r="J106" s="7" t="n">
        <v>0.01</v>
      </c>
      <c r="K106" s="7" t="n">
        <v>0.009999999776482582</v>
      </c>
      <c r="L106" s="4" t="inlineStr">
        <is>
          <t>N/A</t>
        </is>
      </c>
      <c r="M106" s="4" t="inlineStr">
        <is>
          <t>N/A</t>
        </is>
      </c>
      <c r="N106" s="4" t="inlineStr">
        <is>
          <t>N/A</t>
        </is>
      </c>
      <c r="O106" s="4" t="inlineStr">
        <is>
          <t>N/A</t>
        </is>
      </c>
      <c r="P106" s="4" t="inlineStr">
        <is>
          <t>N/A</t>
        </is>
      </c>
      <c r="Q106" s="4" t="inlineStr">
        <is>
          <t>N/A</t>
        </is>
      </c>
      <c r="R106" s="8" t="n">
        <v>46254.68778045139</v>
      </c>
      <c r="S106" s="4" t="inlineStr">
        <is>
          <t>3.0.0</t>
        </is>
      </c>
      <c r="T106" s="4" t="inlineStr">
        <is>
          <t>1.8</t>
        </is>
      </c>
    </row>
    <row r="107">
      <c r="A107" s="4" t="inlineStr">
        <is>
          <t>Grizzly XL YO</t>
        </is>
      </c>
      <c r="B107" s="4" t="inlineStr">
        <is>
          <t>Master Model G25 Grizzly XL_TwoAge_5a_6a_14b_15a_B03</t>
        </is>
      </c>
      <c r="C107" s="4" t="inlineStr">
        <is>
          <t>JAGS_Male_2000</t>
        </is>
      </c>
      <c r="D107" s="5" t="n">
        <v>0.05</v>
      </c>
      <c r="E107" s="4" t="inlineStr">
        <is>
          <t>Variable</t>
        </is>
      </c>
      <c r="F107" s="4" t="inlineStr">
        <is>
          <t>Smoking initiation and cessation variable</t>
        </is>
      </c>
      <c r="G107" s="4" t="inlineStr">
        <is>
          <t>68 - 72</t>
        </is>
      </c>
      <c r="H107" s="4" t="inlineStr">
        <is>
          <t>DIFF_ALL</t>
        </is>
      </c>
      <c r="I107" s="6" t="n">
        <v>1478.215529</v>
      </c>
      <c r="J107" s="7" t="n">
        <v>0.01</v>
      </c>
      <c r="K107" s="7" t="n">
        <v>0.009999999776482582</v>
      </c>
      <c r="L107" s="4" t="inlineStr">
        <is>
          <t>N/A</t>
        </is>
      </c>
      <c r="M107" s="4" t="inlineStr">
        <is>
          <t>N/A</t>
        </is>
      </c>
      <c r="N107" s="4" t="inlineStr">
        <is>
          <t>N/A</t>
        </is>
      </c>
      <c r="O107" s="4" t="inlineStr">
        <is>
          <t>N/A</t>
        </is>
      </c>
      <c r="P107" s="4" t="inlineStr">
        <is>
          <t>N/A</t>
        </is>
      </c>
      <c r="Q107" s="4" t="inlineStr">
        <is>
          <t>N/A</t>
        </is>
      </c>
      <c r="R107" s="8" t="n">
        <v>46254.68778045139</v>
      </c>
      <c r="S107" s="4" t="inlineStr">
        <is>
          <t>3.0.0</t>
        </is>
      </c>
      <c r="T107" s="4" t="inlineStr">
        <is>
          <t>1.8</t>
        </is>
      </c>
    </row>
    <row r="108">
      <c r="A108" s="4" t="inlineStr">
        <is>
          <t>Grizzly XL YO</t>
        </is>
      </c>
      <c r="B108" s="4" t="inlineStr">
        <is>
          <t>Master Model G25 Grizzly XL_TwoAge_5a_6a_14b_15a_B03</t>
        </is>
      </c>
      <c r="C108" s="4" t="inlineStr">
        <is>
          <t>JAGS_Male_2000</t>
        </is>
      </c>
      <c r="D108" s="5" t="n">
        <v>0.05</v>
      </c>
      <c r="E108" s="4" t="inlineStr">
        <is>
          <t>Variable</t>
        </is>
      </c>
      <c r="F108" s="4" t="inlineStr">
        <is>
          <t>Smoking initiation and cessation variable</t>
        </is>
      </c>
      <c r="G108" s="4" t="inlineStr">
        <is>
          <t>68 - 72</t>
        </is>
      </c>
      <c r="H108" s="4" t="inlineStr">
        <is>
          <t>ALL.T</t>
        </is>
      </c>
      <c r="I108" s="6" t="n">
        <v>680243.744175</v>
      </c>
      <c r="J108" s="7" t="n">
        <v>0.01</v>
      </c>
      <c r="K108" s="7" t="n">
        <v>0.009999999776482582</v>
      </c>
      <c r="L108" s="4" t="inlineStr">
        <is>
          <t>N/A</t>
        </is>
      </c>
      <c r="M108" s="4" t="inlineStr">
        <is>
          <t>N/A</t>
        </is>
      </c>
      <c r="N108" s="4" t="inlineStr">
        <is>
          <t>N/A</t>
        </is>
      </c>
      <c r="O108" s="4" t="inlineStr">
        <is>
          <t>N/A</t>
        </is>
      </c>
      <c r="P108" s="4" t="inlineStr">
        <is>
          <t>N/A</t>
        </is>
      </c>
      <c r="Q108" s="4" t="inlineStr">
        <is>
          <t>N/A</t>
        </is>
      </c>
      <c r="R108" s="8" t="n">
        <v>46254.68778045139</v>
      </c>
      <c r="S108" s="4" t="inlineStr">
        <is>
          <t>3.0.0</t>
        </is>
      </c>
      <c r="T108" s="4" t="inlineStr">
        <is>
          <t>1.8</t>
        </is>
      </c>
    </row>
    <row r="109">
      <c r="A109" s="4" t="inlineStr">
        <is>
          <t>Grizzly XL YO</t>
        </is>
      </c>
      <c r="B109" s="4" t="inlineStr">
        <is>
          <t>Master Model G25 Grizzly XL_TwoAge_5a_6a_14b_15a_B03</t>
        </is>
      </c>
      <c r="C109" s="4" t="inlineStr">
        <is>
          <t>JAGS_Male_2000</t>
        </is>
      </c>
      <c r="D109" s="5" t="n">
        <v>0.1</v>
      </c>
      <c r="E109" s="4" t="inlineStr">
        <is>
          <t>Variable</t>
        </is>
      </c>
      <c r="F109" s="4" t="inlineStr">
        <is>
          <t>Smoking initiation and cessation variable</t>
        </is>
      </c>
      <c r="G109" s="4" t="inlineStr">
        <is>
          <t>68 - 72</t>
        </is>
      </c>
      <c r="H109" s="4" t="inlineStr">
        <is>
          <t>DIFF_ALL</t>
        </is>
      </c>
      <c r="I109" s="6" t="n">
        <v>1239.871859</v>
      </c>
      <c r="J109" s="7" t="n">
        <v>0.01</v>
      </c>
      <c r="K109" s="7" t="n">
        <v>0.009999999776482582</v>
      </c>
      <c r="L109" s="4" t="inlineStr">
        <is>
          <t>N/A</t>
        </is>
      </c>
      <c r="M109" s="4" t="inlineStr">
        <is>
          <t>N/A</t>
        </is>
      </c>
      <c r="N109" s="4" t="inlineStr">
        <is>
          <t>N/A</t>
        </is>
      </c>
      <c r="O109" s="4" t="inlineStr">
        <is>
          <t>N/A</t>
        </is>
      </c>
      <c r="P109" s="4" t="inlineStr">
        <is>
          <t>N/A</t>
        </is>
      </c>
      <c r="Q109" s="4" t="inlineStr">
        <is>
          <t>N/A</t>
        </is>
      </c>
      <c r="R109" s="8" t="n">
        <v>46254.68778045139</v>
      </c>
      <c r="S109" s="4" t="inlineStr">
        <is>
          <t>3.0.0</t>
        </is>
      </c>
      <c r="T109" s="4" t="inlineStr">
        <is>
          <t>1.8</t>
        </is>
      </c>
    </row>
    <row r="110">
      <c r="A110" s="4" t="inlineStr">
        <is>
          <t>Grizzly XL YO</t>
        </is>
      </c>
      <c r="B110" s="4" t="inlineStr">
        <is>
          <t>Master Model G25 Grizzly XL_TwoAge_5a_6a_14b_15a_B03</t>
        </is>
      </c>
      <c r="C110" s="4" t="inlineStr">
        <is>
          <t>JAGS_Male_2000</t>
        </is>
      </c>
      <c r="D110" s="5" t="n">
        <v>0.1</v>
      </c>
      <c r="E110" s="4" t="inlineStr">
        <is>
          <t>Variable</t>
        </is>
      </c>
      <c r="F110" s="4" t="inlineStr">
        <is>
          <t>Smoking initiation and cessation variable</t>
        </is>
      </c>
      <c r="G110" s="4" t="inlineStr">
        <is>
          <t>68 - 72</t>
        </is>
      </c>
      <c r="H110" s="4" t="inlineStr">
        <is>
          <t>ALL.T</t>
        </is>
      </c>
      <c r="I110" s="6" t="n">
        <v>680005.400506</v>
      </c>
      <c r="J110" s="7" t="n">
        <v>0.01</v>
      </c>
      <c r="K110" s="7" t="n">
        <v>0.009999999776482582</v>
      </c>
      <c r="L110" s="4" t="inlineStr">
        <is>
          <t>N/A</t>
        </is>
      </c>
      <c r="M110" s="4" t="inlineStr">
        <is>
          <t>N/A</t>
        </is>
      </c>
      <c r="N110" s="4" t="inlineStr">
        <is>
          <t>N/A</t>
        </is>
      </c>
      <c r="O110" s="4" t="inlineStr">
        <is>
          <t>N/A</t>
        </is>
      </c>
      <c r="P110" s="4" t="inlineStr">
        <is>
          <t>N/A</t>
        </is>
      </c>
      <c r="Q110" s="4" t="inlineStr">
        <is>
          <t>N/A</t>
        </is>
      </c>
      <c r="R110" s="8" t="n">
        <v>46254.68778045139</v>
      </c>
      <c r="S110" s="4" t="inlineStr">
        <is>
          <t>3.0.0</t>
        </is>
      </c>
      <c r="T110" s="4" t="inlineStr">
        <is>
          <t>1.8</t>
        </is>
      </c>
    </row>
    <row r="111">
      <c r="A111" s="4" t="inlineStr">
        <is>
          <t>Grizzly XL YO</t>
        </is>
      </c>
      <c r="B111" s="4" t="inlineStr">
        <is>
          <t>Master Model G25 Grizzly XL_TwoAge_5a_6a_14b_15a_B03</t>
        </is>
      </c>
      <c r="C111" s="4" t="inlineStr">
        <is>
          <t>JAGS_Female_2000</t>
        </is>
      </c>
      <c r="D111" s="5" t="n">
        <v>0.05</v>
      </c>
      <c r="E111" s="4" t="inlineStr">
        <is>
          <t>Variable</t>
        </is>
      </c>
      <c r="F111" s="4" t="inlineStr">
        <is>
          <t>Smoking initiation and cessation variable</t>
        </is>
      </c>
      <c r="G111" s="4" t="inlineStr">
        <is>
          <t>68 - 72</t>
        </is>
      </c>
      <c r="H111" s="4" t="inlineStr">
        <is>
          <t>DIFF_ALL</t>
        </is>
      </c>
      <c r="I111" s="6" t="n">
        <v>1181.409336</v>
      </c>
      <c r="J111" s="7" t="n">
        <v>0.01</v>
      </c>
      <c r="K111" s="7" t="n">
        <v>0.009999999776482582</v>
      </c>
      <c r="L111" s="4" t="inlineStr">
        <is>
          <t>N/A</t>
        </is>
      </c>
      <c r="M111" s="4" t="inlineStr">
        <is>
          <t>N/A</t>
        </is>
      </c>
      <c r="N111" s="4" t="inlineStr">
        <is>
          <t>N/A</t>
        </is>
      </c>
      <c r="O111" s="4" t="inlineStr">
        <is>
          <t>N/A</t>
        </is>
      </c>
      <c r="P111" s="4" t="inlineStr">
        <is>
          <t>N/A</t>
        </is>
      </c>
      <c r="Q111" s="4" t="inlineStr">
        <is>
          <t>N/A</t>
        </is>
      </c>
      <c r="R111" s="8" t="n">
        <v>46254.68778045139</v>
      </c>
      <c r="S111" s="4" t="inlineStr">
        <is>
          <t>3.0.0</t>
        </is>
      </c>
      <c r="T111" s="4" t="inlineStr">
        <is>
          <t>1.8</t>
        </is>
      </c>
    </row>
    <row r="112">
      <c r="A112" s="4" t="inlineStr">
        <is>
          <t>Grizzly XL YO</t>
        </is>
      </c>
      <c r="B112" s="4" t="inlineStr">
        <is>
          <t>Master Model G25 Grizzly XL_TwoAge_5a_6a_14b_15a_B03</t>
        </is>
      </c>
      <c r="C112" s="4" t="inlineStr">
        <is>
          <t>JAGS_Female_2000</t>
        </is>
      </c>
      <c r="D112" s="5" t="n">
        <v>0.05</v>
      </c>
      <c r="E112" s="4" t="inlineStr">
        <is>
          <t>Variable</t>
        </is>
      </c>
      <c r="F112" s="4" t="inlineStr">
        <is>
          <t>Smoking initiation and cessation variable</t>
        </is>
      </c>
      <c r="G112" s="4" t="inlineStr">
        <is>
          <t>68 - 72</t>
        </is>
      </c>
      <c r="H112" s="4" t="inlineStr">
        <is>
          <t>ALL.T</t>
        </is>
      </c>
      <c r="I112" s="6" t="n">
        <v>786142.71876</v>
      </c>
      <c r="J112" s="7" t="n">
        <v>0.01</v>
      </c>
      <c r="K112" s="7" t="n">
        <v>0.009999999776482582</v>
      </c>
      <c r="L112" s="4" t="inlineStr">
        <is>
          <t>N/A</t>
        </is>
      </c>
      <c r="M112" s="4" t="inlineStr">
        <is>
          <t>N/A</t>
        </is>
      </c>
      <c r="N112" s="4" t="inlineStr">
        <is>
          <t>N/A</t>
        </is>
      </c>
      <c r="O112" s="4" t="inlineStr">
        <is>
          <t>N/A</t>
        </is>
      </c>
      <c r="P112" s="4" t="inlineStr">
        <is>
          <t>N/A</t>
        </is>
      </c>
      <c r="Q112" s="4" t="inlineStr">
        <is>
          <t>N/A</t>
        </is>
      </c>
      <c r="R112" s="8" t="n">
        <v>46254.68778045139</v>
      </c>
      <c r="S112" s="4" t="inlineStr">
        <is>
          <t>3.0.0</t>
        </is>
      </c>
      <c r="T112" s="4" t="inlineStr">
        <is>
          <t>1.8</t>
        </is>
      </c>
    </row>
    <row r="113">
      <c r="A113" s="4" t="inlineStr">
        <is>
          <t>Grizzly XL YO</t>
        </is>
      </c>
      <c r="B113" s="4" t="inlineStr">
        <is>
          <t>Master Model G25 Grizzly XL_TwoAge_5a_6a_14b_15a_B03</t>
        </is>
      </c>
      <c r="C113" s="4" t="inlineStr">
        <is>
          <t>JAGS_Female_2000</t>
        </is>
      </c>
      <c r="D113" s="5" t="n">
        <v>0.1</v>
      </c>
      <c r="E113" s="4" t="inlineStr">
        <is>
          <t>Variable</t>
        </is>
      </c>
      <c r="F113" s="4" t="inlineStr">
        <is>
          <t>Smoking initiation and cessation variable</t>
        </is>
      </c>
      <c r="G113" s="4" t="inlineStr">
        <is>
          <t>68 - 72</t>
        </is>
      </c>
      <c r="H113" s="4" t="inlineStr">
        <is>
          <t>DIFF_ALL</t>
        </is>
      </c>
      <c r="I113" s="6" t="n">
        <v>994.162833</v>
      </c>
      <c r="J113" s="7" t="n">
        <v>0.01</v>
      </c>
      <c r="K113" s="7" t="n">
        <v>0.009999999776482582</v>
      </c>
      <c r="L113" s="4" t="inlineStr">
        <is>
          <t>N/A</t>
        </is>
      </c>
      <c r="M113" s="4" t="inlineStr">
        <is>
          <t>N/A</t>
        </is>
      </c>
      <c r="N113" s="4" t="inlineStr">
        <is>
          <t>N/A</t>
        </is>
      </c>
      <c r="O113" s="4" t="inlineStr">
        <is>
          <t>N/A</t>
        </is>
      </c>
      <c r="P113" s="4" t="inlineStr">
        <is>
          <t>N/A</t>
        </is>
      </c>
      <c r="Q113" s="4" t="inlineStr">
        <is>
          <t>N/A</t>
        </is>
      </c>
      <c r="R113" s="8" t="n">
        <v>46254.68778045139</v>
      </c>
      <c r="S113" s="4" t="inlineStr">
        <is>
          <t>3.0.0</t>
        </is>
      </c>
      <c r="T113" s="4" t="inlineStr">
        <is>
          <t>1.8</t>
        </is>
      </c>
    </row>
    <row r="114">
      <c r="A114" s="4" t="inlineStr">
        <is>
          <t>Grizzly XL YO</t>
        </is>
      </c>
      <c r="B114" s="4" t="inlineStr">
        <is>
          <t>Master Model G25 Grizzly XL_TwoAge_5a_6a_14b_15a_B03</t>
        </is>
      </c>
      <c r="C114" s="4" t="inlineStr">
        <is>
          <t>JAGS_Female_2000</t>
        </is>
      </c>
      <c r="D114" s="5" t="n">
        <v>0.1</v>
      </c>
      <c r="E114" s="4" t="inlineStr">
        <is>
          <t>Variable</t>
        </is>
      </c>
      <c r="F114" s="4" t="inlineStr">
        <is>
          <t>Smoking initiation and cessation variable</t>
        </is>
      </c>
      <c r="G114" s="4" t="inlineStr">
        <is>
          <t>68 - 72</t>
        </is>
      </c>
      <c r="H114" s="4" t="inlineStr">
        <is>
          <t>ALL.T</t>
        </is>
      </c>
      <c r="I114" s="6" t="n">
        <v>785955.472256</v>
      </c>
      <c r="J114" s="7" t="n">
        <v>0.01</v>
      </c>
      <c r="K114" s="7" t="n">
        <v>0.009999999776482582</v>
      </c>
      <c r="L114" s="4" t="inlineStr">
        <is>
          <t>N/A</t>
        </is>
      </c>
      <c r="M114" s="4" t="inlineStr">
        <is>
          <t>N/A</t>
        </is>
      </c>
      <c r="N114" s="4" t="inlineStr">
        <is>
          <t>N/A</t>
        </is>
      </c>
      <c r="O114" s="4" t="inlineStr">
        <is>
          <t>N/A</t>
        </is>
      </c>
      <c r="P114" s="4" t="inlineStr">
        <is>
          <t>N/A</t>
        </is>
      </c>
      <c r="Q114" s="4" t="inlineStr">
        <is>
          <t>N/A</t>
        </is>
      </c>
      <c r="R114" s="8" t="n">
        <v>46254.68778045139</v>
      </c>
      <c r="S114" s="4" t="inlineStr">
        <is>
          <t>3.0.0</t>
        </is>
      </c>
      <c r="T114" s="4" t="inlineStr">
        <is>
          <t>1.8</t>
        </is>
      </c>
    </row>
    <row r="115">
      <c r="A115" s="4" t="inlineStr">
        <is>
          <t>Grizzly XL YO</t>
        </is>
      </c>
      <c r="B115" s="4" t="inlineStr">
        <is>
          <t>Master Model G25 Grizzly XL_TwoAge_5a_6a_14b_15a_B04</t>
        </is>
      </c>
      <c r="C115" s="4" t="inlineStr">
        <is>
          <t>JAGS_Male_2000</t>
        </is>
      </c>
      <c r="D115" s="5" t="n">
        <v>0.05</v>
      </c>
      <c r="E115" s="4" t="inlineStr">
        <is>
          <t>Variable</t>
        </is>
      </c>
      <c r="F115" s="4" t="inlineStr">
        <is>
          <t>Smoking initiation and cessation variable</t>
        </is>
      </c>
      <c r="G115" s="4" t="inlineStr">
        <is>
          <t>68 - 72</t>
        </is>
      </c>
      <c r="H115" s="4" t="inlineStr">
        <is>
          <t>DIFF_ALL</t>
        </is>
      </c>
      <c r="I115" s="6" t="n">
        <v>1051.832676</v>
      </c>
      <c r="J115" s="7" t="n">
        <v>0.01</v>
      </c>
      <c r="K115" s="7" t="n">
        <v>0.009999999776482582</v>
      </c>
      <c r="L115" s="4" t="inlineStr">
        <is>
          <t>N/A</t>
        </is>
      </c>
      <c r="M115" s="4" t="inlineStr">
        <is>
          <t>N/A</t>
        </is>
      </c>
      <c r="N115" s="4" t="inlineStr">
        <is>
          <t>N/A</t>
        </is>
      </c>
      <c r="O115" s="4" t="inlineStr">
        <is>
          <t>N/A</t>
        </is>
      </c>
      <c r="P115" s="4" t="inlineStr">
        <is>
          <t>N/A</t>
        </is>
      </c>
      <c r="Q115" s="4" t="inlineStr">
        <is>
          <t>N/A</t>
        </is>
      </c>
      <c r="R115" s="8" t="n">
        <v>46254.68778045139</v>
      </c>
      <c r="S115" s="4" t="inlineStr">
        <is>
          <t>3.0.0</t>
        </is>
      </c>
      <c r="T115" s="4" t="inlineStr">
        <is>
          <t>1.8</t>
        </is>
      </c>
    </row>
    <row r="116">
      <c r="A116" s="4" t="inlineStr">
        <is>
          <t>Grizzly XL YO</t>
        </is>
      </c>
      <c r="B116" s="4" t="inlineStr">
        <is>
          <t>Master Model G25 Grizzly XL_TwoAge_5a_6a_14b_15a_B04</t>
        </is>
      </c>
      <c r="C116" s="4" t="inlineStr">
        <is>
          <t>JAGS_Male_2000</t>
        </is>
      </c>
      <c r="D116" s="5" t="n">
        <v>0.05</v>
      </c>
      <c r="E116" s="4" t="inlineStr">
        <is>
          <t>Variable</t>
        </is>
      </c>
      <c r="F116" s="4" t="inlineStr">
        <is>
          <t>Smoking initiation and cessation variable</t>
        </is>
      </c>
      <c r="G116" s="4" t="inlineStr">
        <is>
          <t>68 - 72</t>
        </is>
      </c>
      <c r="H116" s="4" t="inlineStr">
        <is>
          <t>ALL.T</t>
        </is>
      </c>
      <c r="I116" s="6" t="n">
        <v>679817.361322</v>
      </c>
      <c r="J116" s="7" t="n">
        <v>0.01</v>
      </c>
      <c r="K116" s="7" t="n">
        <v>0.009999999776482582</v>
      </c>
      <c r="L116" s="4" t="inlineStr">
        <is>
          <t>N/A</t>
        </is>
      </c>
      <c r="M116" s="4" t="inlineStr">
        <is>
          <t>N/A</t>
        </is>
      </c>
      <c r="N116" s="4" t="inlineStr">
        <is>
          <t>N/A</t>
        </is>
      </c>
      <c r="O116" s="4" t="inlineStr">
        <is>
          <t>N/A</t>
        </is>
      </c>
      <c r="P116" s="4" t="inlineStr">
        <is>
          <t>N/A</t>
        </is>
      </c>
      <c r="Q116" s="4" t="inlineStr">
        <is>
          <t>N/A</t>
        </is>
      </c>
      <c r="R116" s="8" t="n">
        <v>46254.68778045139</v>
      </c>
      <c r="S116" s="4" t="inlineStr">
        <is>
          <t>3.0.0</t>
        </is>
      </c>
      <c r="T116" s="4" t="inlineStr">
        <is>
          <t>1.8</t>
        </is>
      </c>
    </row>
    <row r="117">
      <c r="A117" s="4" t="inlineStr">
        <is>
          <t>Grizzly XL YO</t>
        </is>
      </c>
      <c r="B117" s="4" t="inlineStr">
        <is>
          <t>Master Model G25 Grizzly XL_TwoAge_5a_6a_14b_15a_B04</t>
        </is>
      </c>
      <c r="C117" s="4" t="inlineStr">
        <is>
          <t>JAGS_Male_2000</t>
        </is>
      </c>
      <c r="D117" s="5" t="n">
        <v>0.1</v>
      </c>
      <c r="E117" s="4" t="inlineStr">
        <is>
          <t>Variable</t>
        </is>
      </c>
      <c r="F117" s="4" t="inlineStr">
        <is>
          <t>Smoking initiation and cessation variable</t>
        </is>
      </c>
      <c r="G117" s="4" t="inlineStr">
        <is>
          <t>68 - 72</t>
        </is>
      </c>
      <c r="H117" s="4" t="inlineStr">
        <is>
          <t>DIFF_ALL</t>
        </is>
      </c>
      <c r="I117" s="6" t="n">
        <v>947.771263</v>
      </c>
      <c r="J117" s="7" t="n">
        <v>0.01</v>
      </c>
      <c r="K117" s="7" t="n">
        <v>0.009999999776482582</v>
      </c>
      <c r="L117" s="4" t="inlineStr">
        <is>
          <t>N/A</t>
        </is>
      </c>
      <c r="M117" s="4" t="inlineStr">
        <is>
          <t>N/A</t>
        </is>
      </c>
      <c r="N117" s="4" t="inlineStr">
        <is>
          <t>N/A</t>
        </is>
      </c>
      <c r="O117" s="4" t="inlineStr">
        <is>
          <t>N/A</t>
        </is>
      </c>
      <c r="P117" s="4" t="inlineStr">
        <is>
          <t>N/A</t>
        </is>
      </c>
      <c r="Q117" s="4" t="inlineStr">
        <is>
          <t>N/A</t>
        </is>
      </c>
      <c r="R117" s="8" t="n">
        <v>46254.68778045139</v>
      </c>
      <c r="S117" s="4" t="inlineStr">
        <is>
          <t>3.0.0</t>
        </is>
      </c>
      <c r="T117" s="4" t="inlineStr">
        <is>
          <t>1.8</t>
        </is>
      </c>
    </row>
    <row r="118">
      <c r="A118" s="4" t="inlineStr">
        <is>
          <t>Grizzly XL YO</t>
        </is>
      </c>
      <c r="B118" s="4" t="inlineStr">
        <is>
          <t>Master Model G25 Grizzly XL_TwoAge_5a_6a_14b_15a_B04</t>
        </is>
      </c>
      <c r="C118" s="4" t="inlineStr">
        <is>
          <t>JAGS_Male_2000</t>
        </is>
      </c>
      <c r="D118" s="5" t="n">
        <v>0.1</v>
      </c>
      <c r="E118" s="4" t="inlineStr">
        <is>
          <t>Variable</t>
        </is>
      </c>
      <c r="F118" s="4" t="inlineStr">
        <is>
          <t>Smoking initiation and cessation variable</t>
        </is>
      </c>
      <c r="G118" s="4" t="inlineStr">
        <is>
          <t>68 - 72</t>
        </is>
      </c>
      <c r="H118" s="4" t="inlineStr">
        <is>
          <t>ALL.T</t>
        </is>
      </c>
      <c r="I118" s="6" t="n">
        <v>679713.2999099999</v>
      </c>
      <c r="J118" s="7" t="n">
        <v>0.01</v>
      </c>
      <c r="K118" s="7" t="n">
        <v>0.009999999776482582</v>
      </c>
      <c r="L118" s="4" t="inlineStr">
        <is>
          <t>N/A</t>
        </is>
      </c>
      <c r="M118" s="4" t="inlineStr">
        <is>
          <t>N/A</t>
        </is>
      </c>
      <c r="N118" s="4" t="inlineStr">
        <is>
          <t>N/A</t>
        </is>
      </c>
      <c r="O118" s="4" t="inlineStr">
        <is>
          <t>N/A</t>
        </is>
      </c>
      <c r="P118" s="4" t="inlineStr">
        <is>
          <t>N/A</t>
        </is>
      </c>
      <c r="Q118" s="4" t="inlineStr">
        <is>
          <t>N/A</t>
        </is>
      </c>
      <c r="R118" s="8" t="n">
        <v>46254.68778045139</v>
      </c>
      <c r="S118" s="4" t="inlineStr">
        <is>
          <t>3.0.0</t>
        </is>
      </c>
      <c r="T118" s="4" t="inlineStr">
        <is>
          <t>1.8</t>
        </is>
      </c>
    </row>
    <row r="119">
      <c r="A119" s="4" t="inlineStr">
        <is>
          <t>Grizzly XL YO</t>
        </is>
      </c>
      <c r="B119" s="4" t="inlineStr">
        <is>
          <t>Master Model G25 Grizzly XL_TwoAge_5a_6a_14b_15a_B04</t>
        </is>
      </c>
      <c r="C119" s="4" t="inlineStr">
        <is>
          <t>JAGS_Female_2000</t>
        </is>
      </c>
      <c r="D119" s="5" t="n">
        <v>0.05</v>
      </c>
      <c r="E119" s="4" t="inlineStr">
        <is>
          <t>Variable</t>
        </is>
      </c>
      <c r="F119" s="4" t="inlineStr">
        <is>
          <t>Smoking initiation and cessation variable</t>
        </is>
      </c>
      <c r="G119" s="4" t="inlineStr">
        <is>
          <t>68 - 72</t>
        </is>
      </c>
      <c r="H119" s="4" t="inlineStr">
        <is>
          <t>DIFF_ALL</t>
        </is>
      </c>
      <c r="I119" s="6" t="n">
        <v>852.747891</v>
      </c>
      <c r="J119" s="7" t="n">
        <v>0.01</v>
      </c>
      <c r="K119" s="7" t="n">
        <v>0.009999999776482582</v>
      </c>
      <c r="L119" s="4" t="inlineStr">
        <is>
          <t>N/A</t>
        </is>
      </c>
      <c r="M119" s="4" t="inlineStr">
        <is>
          <t>N/A</t>
        </is>
      </c>
      <c r="N119" s="4" t="inlineStr">
        <is>
          <t>N/A</t>
        </is>
      </c>
      <c r="O119" s="4" t="inlineStr">
        <is>
          <t>N/A</t>
        </is>
      </c>
      <c r="P119" s="4" t="inlineStr">
        <is>
          <t>N/A</t>
        </is>
      </c>
      <c r="Q119" s="4" t="inlineStr">
        <is>
          <t>N/A</t>
        </is>
      </c>
      <c r="R119" s="8" t="n">
        <v>46254.68778045139</v>
      </c>
      <c r="S119" s="4" t="inlineStr">
        <is>
          <t>3.0.0</t>
        </is>
      </c>
      <c r="T119" s="4" t="inlineStr">
        <is>
          <t>1.8</t>
        </is>
      </c>
    </row>
    <row r="120">
      <c r="A120" s="4" t="inlineStr">
        <is>
          <t>Grizzly XL YO</t>
        </is>
      </c>
      <c r="B120" s="4" t="inlineStr">
        <is>
          <t>Master Model G25 Grizzly XL_TwoAge_5a_6a_14b_15a_B04</t>
        </is>
      </c>
      <c r="C120" s="4" t="inlineStr">
        <is>
          <t>JAGS_Female_2000</t>
        </is>
      </c>
      <c r="D120" s="5" t="n">
        <v>0.05</v>
      </c>
      <c r="E120" s="4" t="inlineStr">
        <is>
          <t>Variable</t>
        </is>
      </c>
      <c r="F120" s="4" t="inlineStr">
        <is>
          <t>Smoking initiation and cessation variable</t>
        </is>
      </c>
      <c r="G120" s="4" t="inlineStr">
        <is>
          <t>68 - 72</t>
        </is>
      </c>
      <c r="H120" s="4" t="inlineStr">
        <is>
          <t>ALL.T</t>
        </is>
      </c>
      <c r="I120" s="6" t="n">
        <v>785814.057315</v>
      </c>
      <c r="J120" s="7" t="n">
        <v>0.01</v>
      </c>
      <c r="K120" s="7" t="n">
        <v>0.009999999776482582</v>
      </c>
      <c r="L120" s="4" t="inlineStr">
        <is>
          <t>N/A</t>
        </is>
      </c>
      <c r="M120" s="4" t="inlineStr">
        <is>
          <t>N/A</t>
        </is>
      </c>
      <c r="N120" s="4" t="inlineStr">
        <is>
          <t>N/A</t>
        </is>
      </c>
      <c r="O120" s="4" t="inlineStr">
        <is>
          <t>N/A</t>
        </is>
      </c>
      <c r="P120" s="4" t="inlineStr">
        <is>
          <t>N/A</t>
        </is>
      </c>
      <c r="Q120" s="4" t="inlineStr">
        <is>
          <t>N/A</t>
        </is>
      </c>
      <c r="R120" s="8" t="n">
        <v>46254.68778045139</v>
      </c>
      <c r="S120" s="4" t="inlineStr">
        <is>
          <t>3.0.0</t>
        </is>
      </c>
      <c r="T120" s="4" t="inlineStr">
        <is>
          <t>1.8</t>
        </is>
      </c>
    </row>
    <row r="121">
      <c r="A121" s="4" t="inlineStr">
        <is>
          <t>Grizzly XL YO</t>
        </is>
      </c>
      <c r="B121" s="4" t="inlineStr">
        <is>
          <t>Master Model G25 Grizzly XL_TwoAge_5a_6a_14b_15a_B04</t>
        </is>
      </c>
      <c r="C121" s="4" t="inlineStr">
        <is>
          <t>JAGS_Female_2000</t>
        </is>
      </c>
      <c r="D121" s="5" t="n">
        <v>0.1</v>
      </c>
      <c r="E121" s="4" t="inlineStr">
        <is>
          <t>Variable</t>
        </is>
      </c>
      <c r="F121" s="4" t="inlineStr">
        <is>
          <t>Smoking initiation and cessation variable</t>
        </is>
      </c>
      <c r="G121" s="4" t="inlineStr">
        <is>
          <t>68 - 72</t>
        </is>
      </c>
      <c r="H121" s="4" t="inlineStr">
        <is>
          <t>DIFF_ALL</t>
        </is>
      </c>
      <c r="I121" s="6" t="n">
        <v>771.519911</v>
      </c>
      <c r="J121" s="7" t="n">
        <v>0.01</v>
      </c>
      <c r="K121" s="7" t="n">
        <v>0.009999999776482582</v>
      </c>
      <c r="L121" s="4" t="inlineStr">
        <is>
          <t>N/A</t>
        </is>
      </c>
      <c r="M121" s="4" t="inlineStr">
        <is>
          <t>N/A</t>
        </is>
      </c>
      <c r="N121" s="4" t="inlineStr">
        <is>
          <t>N/A</t>
        </is>
      </c>
      <c r="O121" s="4" t="inlineStr">
        <is>
          <t>N/A</t>
        </is>
      </c>
      <c r="P121" s="4" t="inlineStr">
        <is>
          <t>N/A</t>
        </is>
      </c>
      <c r="Q121" s="4" t="inlineStr">
        <is>
          <t>N/A</t>
        </is>
      </c>
      <c r="R121" s="8" t="n">
        <v>46254.68778045139</v>
      </c>
      <c r="S121" s="4" t="inlineStr">
        <is>
          <t>3.0.0</t>
        </is>
      </c>
      <c r="T121" s="4" t="inlineStr">
        <is>
          <t>1.8</t>
        </is>
      </c>
    </row>
    <row r="122">
      <c r="A122" s="4" t="inlineStr">
        <is>
          <t>Grizzly XL YO</t>
        </is>
      </c>
      <c r="B122" s="4" t="inlineStr">
        <is>
          <t>Master Model G25 Grizzly XL_TwoAge_5a_6a_14b_15a_B04</t>
        </is>
      </c>
      <c r="C122" s="4" t="inlineStr">
        <is>
          <t>JAGS_Female_2000</t>
        </is>
      </c>
      <c r="D122" s="5" t="n">
        <v>0.1</v>
      </c>
      <c r="E122" s="4" t="inlineStr">
        <is>
          <t>Variable</t>
        </is>
      </c>
      <c r="F122" s="4" t="inlineStr">
        <is>
          <t>Smoking initiation and cessation variable</t>
        </is>
      </c>
      <c r="G122" s="4" t="inlineStr">
        <is>
          <t>68 - 72</t>
        </is>
      </c>
      <c r="H122" s="4" t="inlineStr">
        <is>
          <t>ALL.T</t>
        </is>
      </c>
      <c r="I122" s="6" t="n">
        <v>785732.829334</v>
      </c>
      <c r="J122" s="7" t="n">
        <v>0.01</v>
      </c>
      <c r="K122" s="7" t="n">
        <v>0.009999999776482582</v>
      </c>
      <c r="L122" s="4" t="inlineStr">
        <is>
          <t>N/A</t>
        </is>
      </c>
      <c r="M122" s="4" t="inlineStr">
        <is>
          <t>N/A</t>
        </is>
      </c>
      <c r="N122" s="4" t="inlineStr">
        <is>
          <t>N/A</t>
        </is>
      </c>
      <c r="O122" s="4" t="inlineStr">
        <is>
          <t>N/A</t>
        </is>
      </c>
      <c r="P122" s="4" t="inlineStr">
        <is>
          <t>N/A</t>
        </is>
      </c>
      <c r="Q122" s="4" t="inlineStr">
        <is>
          <t>N/A</t>
        </is>
      </c>
      <c r="R122" s="8" t="n">
        <v>46254.68778045139</v>
      </c>
      <c r="S122" s="4" t="inlineStr">
        <is>
          <t>3.0.0</t>
        </is>
      </c>
      <c r="T122" s="4" t="inlineStr">
        <is>
          <t>1.8</t>
        </is>
      </c>
    </row>
    <row r="123">
      <c r="A123" s="4" t="inlineStr">
        <is>
          <t>Grizzly XL YO</t>
        </is>
      </c>
      <c r="B123" s="4" t="inlineStr">
        <is>
          <t>Master Model G25 Grizzly XL_TwoAge_5a_6a_14b_15a_B05</t>
        </is>
      </c>
      <c r="C123" s="4" t="inlineStr">
        <is>
          <t>JAGS_Male_2000</t>
        </is>
      </c>
      <c r="D123" s="5" t="n">
        <v>0.05</v>
      </c>
      <c r="E123" s="4" t="inlineStr">
        <is>
          <t>Variable</t>
        </is>
      </c>
      <c r="F123" s="4" t="inlineStr">
        <is>
          <t>Smoking initiation and cessation variable</t>
        </is>
      </c>
      <c r="G123" s="4" t="inlineStr">
        <is>
          <t>68 - 72</t>
        </is>
      </c>
      <c r="H123" s="4" t="inlineStr">
        <is>
          <t>DIFF_ALL</t>
        </is>
      </c>
      <c r="I123" s="6" t="n">
        <v>716.136721</v>
      </c>
      <c r="J123" s="7" t="n">
        <v>0.01</v>
      </c>
      <c r="K123" s="7" t="n">
        <v>0.009999999776482582</v>
      </c>
      <c r="L123" s="4" t="inlineStr">
        <is>
          <t>N/A</t>
        </is>
      </c>
      <c r="M123" s="4" t="inlineStr">
        <is>
          <t>N/A</t>
        </is>
      </c>
      <c r="N123" s="4" t="inlineStr">
        <is>
          <t>N/A</t>
        </is>
      </c>
      <c r="O123" s="4" t="inlineStr">
        <is>
          <t>N/A</t>
        </is>
      </c>
      <c r="P123" s="4" t="inlineStr">
        <is>
          <t>N/A</t>
        </is>
      </c>
      <c r="Q123" s="4" t="inlineStr">
        <is>
          <t>N/A</t>
        </is>
      </c>
      <c r="R123" s="8" t="n">
        <v>46254.68778045139</v>
      </c>
      <c r="S123" s="4" t="inlineStr">
        <is>
          <t>3.0.0</t>
        </is>
      </c>
      <c r="T123" s="4" t="inlineStr">
        <is>
          <t>1.8</t>
        </is>
      </c>
    </row>
    <row r="124">
      <c r="A124" s="4" t="inlineStr">
        <is>
          <t>Grizzly XL YO</t>
        </is>
      </c>
      <c r="B124" s="4" t="inlineStr">
        <is>
          <t>Master Model G25 Grizzly XL_TwoAge_5a_6a_14b_15a_B05</t>
        </is>
      </c>
      <c r="C124" s="4" t="inlineStr">
        <is>
          <t>JAGS_Male_2000</t>
        </is>
      </c>
      <c r="D124" s="5" t="n">
        <v>0.05</v>
      </c>
      <c r="E124" s="4" t="inlineStr">
        <is>
          <t>Variable</t>
        </is>
      </c>
      <c r="F124" s="4" t="inlineStr">
        <is>
          <t>Smoking initiation and cessation variable</t>
        </is>
      </c>
      <c r="G124" s="4" t="inlineStr">
        <is>
          <t>68 - 72</t>
        </is>
      </c>
      <c r="H124" s="4" t="inlineStr">
        <is>
          <t>ALL.T</t>
        </is>
      </c>
      <c r="I124" s="6" t="n">
        <v>679481.665367</v>
      </c>
      <c r="J124" s="7" t="n">
        <v>0.01</v>
      </c>
      <c r="K124" s="7" t="n">
        <v>0.009999999776482582</v>
      </c>
      <c r="L124" s="4" t="inlineStr">
        <is>
          <t>N/A</t>
        </is>
      </c>
      <c r="M124" s="4" t="inlineStr">
        <is>
          <t>N/A</t>
        </is>
      </c>
      <c r="N124" s="4" t="inlineStr">
        <is>
          <t>N/A</t>
        </is>
      </c>
      <c r="O124" s="4" t="inlineStr">
        <is>
          <t>N/A</t>
        </is>
      </c>
      <c r="P124" s="4" t="inlineStr">
        <is>
          <t>N/A</t>
        </is>
      </c>
      <c r="Q124" s="4" t="inlineStr">
        <is>
          <t>N/A</t>
        </is>
      </c>
      <c r="R124" s="8" t="n">
        <v>46254.68778045139</v>
      </c>
      <c r="S124" s="4" t="inlineStr">
        <is>
          <t>3.0.0</t>
        </is>
      </c>
      <c r="T124" s="4" t="inlineStr">
        <is>
          <t>1.8</t>
        </is>
      </c>
    </row>
    <row r="125">
      <c r="A125" s="4" t="inlineStr">
        <is>
          <t>Grizzly XL YO</t>
        </is>
      </c>
      <c r="B125" s="4" t="inlineStr">
        <is>
          <t>Master Model G25 Grizzly XL_TwoAge_5a_6a_14b_15a_B05</t>
        </is>
      </c>
      <c r="C125" s="4" t="inlineStr">
        <is>
          <t>JAGS_Male_2000</t>
        </is>
      </c>
      <c r="D125" s="5" t="n">
        <v>0.1</v>
      </c>
      <c r="E125" s="4" t="inlineStr">
        <is>
          <t>Variable</t>
        </is>
      </c>
      <c r="F125" s="4" t="inlineStr">
        <is>
          <t>Smoking initiation and cessation variable</t>
        </is>
      </c>
      <c r="G125" s="4" t="inlineStr">
        <is>
          <t>68 - 72</t>
        </is>
      </c>
      <c r="H125" s="4" t="inlineStr">
        <is>
          <t>DIFF_ALL</t>
        </is>
      </c>
      <c r="I125" s="6" t="n">
        <v>649.7632180000001</v>
      </c>
      <c r="J125" s="7" t="n">
        <v>0.01</v>
      </c>
      <c r="K125" s="7" t="n">
        <v>0.009999999776482582</v>
      </c>
      <c r="L125" s="4" t="inlineStr">
        <is>
          <t>N/A</t>
        </is>
      </c>
      <c r="M125" s="4" t="inlineStr">
        <is>
          <t>N/A</t>
        </is>
      </c>
      <c r="N125" s="4" t="inlineStr">
        <is>
          <t>N/A</t>
        </is>
      </c>
      <c r="O125" s="4" t="inlineStr">
        <is>
          <t>N/A</t>
        </is>
      </c>
      <c r="P125" s="4" t="inlineStr">
        <is>
          <t>N/A</t>
        </is>
      </c>
      <c r="Q125" s="4" t="inlineStr">
        <is>
          <t>N/A</t>
        </is>
      </c>
      <c r="R125" s="8" t="n">
        <v>46254.68778045139</v>
      </c>
      <c r="S125" s="4" t="inlineStr">
        <is>
          <t>3.0.0</t>
        </is>
      </c>
      <c r="T125" s="4" t="inlineStr">
        <is>
          <t>1.8</t>
        </is>
      </c>
    </row>
    <row r="126">
      <c r="A126" s="4" t="inlineStr">
        <is>
          <t>Grizzly XL YO</t>
        </is>
      </c>
      <c r="B126" s="4" t="inlineStr">
        <is>
          <t>Master Model G25 Grizzly XL_TwoAge_5a_6a_14b_15a_B05</t>
        </is>
      </c>
      <c r="C126" s="4" t="inlineStr">
        <is>
          <t>JAGS_Male_2000</t>
        </is>
      </c>
      <c r="D126" s="5" t="n">
        <v>0.1</v>
      </c>
      <c r="E126" s="4" t="inlineStr">
        <is>
          <t>Variable</t>
        </is>
      </c>
      <c r="F126" s="4" t="inlineStr">
        <is>
          <t>Smoking initiation and cessation variable</t>
        </is>
      </c>
      <c r="G126" s="4" t="inlineStr">
        <is>
          <t>68 - 72</t>
        </is>
      </c>
      <c r="H126" s="4" t="inlineStr">
        <is>
          <t>ALL.T</t>
        </is>
      </c>
      <c r="I126" s="6" t="n">
        <v>679415.291865</v>
      </c>
      <c r="J126" s="7" t="n">
        <v>0.01</v>
      </c>
      <c r="K126" s="7" t="n">
        <v>0.009999999776482582</v>
      </c>
      <c r="L126" s="4" t="inlineStr">
        <is>
          <t>N/A</t>
        </is>
      </c>
      <c r="M126" s="4" t="inlineStr">
        <is>
          <t>N/A</t>
        </is>
      </c>
      <c r="N126" s="4" t="inlineStr">
        <is>
          <t>N/A</t>
        </is>
      </c>
      <c r="O126" s="4" t="inlineStr">
        <is>
          <t>N/A</t>
        </is>
      </c>
      <c r="P126" s="4" t="inlineStr">
        <is>
          <t>N/A</t>
        </is>
      </c>
      <c r="Q126" s="4" t="inlineStr">
        <is>
          <t>N/A</t>
        </is>
      </c>
      <c r="R126" s="8" t="n">
        <v>46254.68778045139</v>
      </c>
      <c r="S126" s="4" t="inlineStr">
        <is>
          <t>3.0.0</t>
        </is>
      </c>
      <c r="T126" s="4" t="inlineStr">
        <is>
          <t>1.8</t>
        </is>
      </c>
    </row>
    <row r="127">
      <c r="A127" s="4" t="inlineStr">
        <is>
          <t>Grizzly XL YO</t>
        </is>
      </c>
      <c r="B127" s="4" t="inlineStr">
        <is>
          <t>Master Model G25 Grizzly XL_TwoAge_5a_6a_14b_15a_B05</t>
        </is>
      </c>
      <c r="C127" s="4" t="inlineStr">
        <is>
          <t>JAGS_Female_2000</t>
        </is>
      </c>
      <c r="D127" s="5" t="n">
        <v>0.05</v>
      </c>
      <c r="E127" s="4" t="inlineStr">
        <is>
          <t>Variable</t>
        </is>
      </c>
      <c r="F127" s="4" t="inlineStr">
        <is>
          <t>Smoking initiation and cessation variable</t>
        </is>
      </c>
      <c r="G127" s="4" t="inlineStr">
        <is>
          <t>68 - 72</t>
        </is>
      </c>
      <c r="H127" s="4" t="inlineStr">
        <is>
          <t>DIFF_ALL</t>
        </is>
      </c>
      <c r="I127" s="6" t="n">
        <v>595.69564</v>
      </c>
      <c r="J127" s="7" t="n">
        <v>0.01</v>
      </c>
      <c r="K127" s="7" t="n">
        <v>0.009999999776482582</v>
      </c>
      <c r="L127" s="4" t="inlineStr">
        <is>
          <t>N/A</t>
        </is>
      </c>
      <c r="M127" s="4" t="inlineStr">
        <is>
          <t>N/A</t>
        </is>
      </c>
      <c r="N127" s="4" t="inlineStr">
        <is>
          <t>N/A</t>
        </is>
      </c>
      <c r="O127" s="4" t="inlineStr">
        <is>
          <t>N/A</t>
        </is>
      </c>
      <c r="P127" s="4" t="inlineStr">
        <is>
          <t>N/A</t>
        </is>
      </c>
      <c r="Q127" s="4" t="inlineStr">
        <is>
          <t>N/A</t>
        </is>
      </c>
      <c r="R127" s="8" t="n">
        <v>46254.68778045139</v>
      </c>
      <c r="S127" s="4" t="inlineStr">
        <is>
          <t>3.0.0</t>
        </is>
      </c>
      <c r="T127" s="4" t="inlineStr">
        <is>
          <t>1.8</t>
        </is>
      </c>
    </row>
    <row r="128">
      <c r="A128" s="4" t="inlineStr">
        <is>
          <t>Grizzly XL YO</t>
        </is>
      </c>
      <c r="B128" s="4" t="inlineStr">
        <is>
          <t>Master Model G25 Grizzly XL_TwoAge_5a_6a_14b_15a_B05</t>
        </is>
      </c>
      <c r="C128" s="4" t="inlineStr">
        <is>
          <t>JAGS_Female_2000</t>
        </is>
      </c>
      <c r="D128" s="5" t="n">
        <v>0.05</v>
      </c>
      <c r="E128" s="4" t="inlineStr">
        <is>
          <t>Variable</t>
        </is>
      </c>
      <c r="F128" s="4" t="inlineStr">
        <is>
          <t>Smoking initiation and cessation variable</t>
        </is>
      </c>
      <c r="G128" s="4" t="inlineStr">
        <is>
          <t>68 - 72</t>
        </is>
      </c>
      <c r="H128" s="4" t="inlineStr">
        <is>
          <t>ALL.T</t>
        </is>
      </c>
      <c r="I128" s="6" t="n">
        <v>785557.005063</v>
      </c>
      <c r="J128" s="7" t="n">
        <v>0.01</v>
      </c>
      <c r="K128" s="7" t="n">
        <v>0.009999999776482582</v>
      </c>
      <c r="L128" s="4" t="inlineStr">
        <is>
          <t>N/A</t>
        </is>
      </c>
      <c r="M128" s="4" t="inlineStr">
        <is>
          <t>N/A</t>
        </is>
      </c>
      <c r="N128" s="4" t="inlineStr">
        <is>
          <t>N/A</t>
        </is>
      </c>
      <c r="O128" s="4" t="inlineStr">
        <is>
          <t>N/A</t>
        </is>
      </c>
      <c r="P128" s="4" t="inlineStr">
        <is>
          <t>N/A</t>
        </is>
      </c>
      <c r="Q128" s="4" t="inlineStr">
        <is>
          <t>N/A</t>
        </is>
      </c>
      <c r="R128" s="8" t="n">
        <v>46254.68778045139</v>
      </c>
      <c r="S128" s="4" t="inlineStr">
        <is>
          <t>3.0.0</t>
        </is>
      </c>
      <c r="T128" s="4" t="inlineStr">
        <is>
          <t>1.8</t>
        </is>
      </c>
    </row>
    <row r="129">
      <c r="A129" s="4" t="inlineStr">
        <is>
          <t>Grizzly XL YO</t>
        </is>
      </c>
      <c r="B129" s="4" t="inlineStr">
        <is>
          <t>Master Model G25 Grizzly XL_TwoAge_5a_6a_14b_15a_B05</t>
        </is>
      </c>
      <c r="C129" s="4" t="inlineStr">
        <is>
          <t>JAGS_Female_2000</t>
        </is>
      </c>
      <c r="D129" s="5" t="n">
        <v>0.1</v>
      </c>
      <c r="E129" s="4" t="inlineStr">
        <is>
          <t>Variable</t>
        </is>
      </c>
      <c r="F129" s="4" t="inlineStr">
        <is>
          <t>Smoking initiation and cessation variable</t>
        </is>
      </c>
      <c r="G129" s="4" t="inlineStr">
        <is>
          <t>68 - 72</t>
        </is>
      </c>
      <c r="H129" s="4" t="inlineStr">
        <is>
          <t>DIFF_ALL</t>
        </is>
      </c>
      <c r="I129" s="6" t="n">
        <v>542.278774</v>
      </c>
      <c r="J129" s="7" t="n">
        <v>0.01</v>
      </c>
      <c r="K129" s="7" t="n">
        <v>0.009999999776482582</v>
      </c>
      <c r="L129" s="4" t="inlineStr">
        <is>
          <t>N/A</t>
        </is>
      </c>
      <c r="M129" s="4" t="inlineStr">
        <is>
          <t>N/A</t>
        </is>
      </c>
      <c r="N129" s="4" t="inlineStr">
        <is>
          <t>N/A</t>
        </is>
      </c>
      <c r="O129" s="4" t="inlineStr">
        <is>
          <t>N/A</t>
        </is>
      </c>
      <c r="P129" s="4" t="inlineStr">
        <is>
          <t>N/A</t>
        </is>
      </c>
      <c r="Q129" s="4" t="inlineStr">
        <is>
          <t>N/A</t>
        </is>
      </c>
      <c r="R129" s="8" t="n">
        <v>46254.68778045139</v>
      </c>
      <c r="S129" s="4" t="inlineStr">
        <is>
          <t>3.0.0</t>
        </is>
      </c>
      <c r="T129" s="4" t="inlineStr">
        <is>
          <t>1.8</t>
        </is>
      </c>
    </row>
    <row r="130">
      <c r="A130" s="4" t="inlineStr">
        <is>
          <t>Grizzly XL YO</t>
        </is>
      </c>
      <c r="B130" s="4" t="inlineStr">
        <is>
          <t>Master Model G25 Grizzly XL_TwoAge_5a_6a_14b_15a_B05</t>
        </is>
      </c>
      <c r="C130" s="4" t="inlineStr">
        <is>
          <t>JAGS_Female_2000</t>
        </is>
      </c>
      <c r="D130" s="5" t="n">
        <v>0.1</v>
      </c>
      <c r="E130" s="4" t="inlineStr">
        <is>
          <t>Variable</t>
        </is>
      </c>
      <c r="F130" s="4" t="inlineStr">
        <is>
          <t>Smoking initiation and cessation variable</t>
        </is>
      </c>
      <c r="G130" s="4" t="inlineStr">
        <is>
          <t>68 - 72</t>
        </is>
      </c>
      <c r="H130" s="4" t="inlineStr">
        <is>
          <t>ALL.T</t>
        </is>
      </c>
      <c r="I130" s="6" t="n">
        <v>785503.588198</v>
      </c>
      <c r="J130" s="7" t="n">
        <v>0.01</v>
      </c>
      <c r="K130" s="7" t="n">
        <v>0.009999999776482582</v>
      </c>
      <c r="L130" s="4" t="inlineStr">
        <is>
          <t>N/A</t>
        </is>
      </c>
      <c r="M130" s="4" t="inlineStr">
        <is>
          <t>N/A</t>
        </is>
      </c>
      <c r="N130" s="4" t="inlineStr">
        <is>
          <t>N/A</t>
        </is>
      </c>
      <c r="O130" s="4" t="inlineStr">
        <is>
          <t>N/A</t>
        </is>
      </c>
      <c r="P130" s="4" t="inlineStr">
        <is>
          <t>N/A</t>
        </is>
      </c>
      <c r="Q130" s="4" t="inlineStr">
        <is>
          <t>N/A</t>
        </is>
      </c>
      <c r="R130" s="8" t="n">
        <v>46254.68778045139</v>
      </c>
      <c r="S130" s="4" t="inlineStr">
        <is>
          <t>3.0.0</t>
        </is>
      </c>
      <c r="T130" s="4" t="inlineStr">
        <is>
          <t>1.8</t>
        </is>
      </c>
    </row>
    <row r="131">
      <c r="A131" s="4" t="inlineStr">
        <is>
          <t>Grizzly XL YO</t>
        </is>
      </c>
      <c r="B131" s="4" t="inlineStr">
        <is>
          <t>Master Model G25 Grizzly XL_TwoAge_5a_6a_14b_15a_B06</t>
        </is>
      </c>
      <c r="C131" s="4" t="inlineStr">
        <is>
          <t>JAGS_Male_2000</t>
        </is>
      </c>
      <c r="D131" s="5" t="n">
        <v>0.05</v>
      </c>
      <c r="E131" s="4" t="inlineStr">
        <is>
          <t>Variable</t>
        </is>
      </c>
      <c r="F131" s="4" t="inlineStr">
        <is>
          <t>Smoking initiation and cessation variable</t>
        </is>
      </c>
      <c r="G131" s="4" t="inlineStr">
        <is>
          <t>68 - 72</t>
        </is>
      </c>
      <c r="H131" s="4" t="inlineStr">
        <is>
          <t>DIFF_ALL</t>
        </is>
      </c>
      <c r="I131" s="6" t="n">
        <v>482.961747</v>
      </c>
      <c r="J131" s="7" t="n">
        <v>0.01</v>
      </c>
      <c r="K131" s="7" t="n">
        <v>0.009999999776482582</v>
      </c>
      <c r="L131" s="4" t="inlineStr">
        <is>
          <t>N/A</t>
        </is>
      </c>
      <c r="M131" s="4" t="inlineStr">
        <is>
          <t>N/A</t>
        </is>
      </c>
      <c r="N131" s="4" t="inlineStr">
        <is>
          <t>N/A</t>
        </is>
      </c>
      <c r="O131" s="4" t="inlineStr">
        <is>
          <t>N/A</t>
        </is>
      </c>
      <c r="P131" s="4" t="inlineStr">
        <is>
          <t>N/A</t>
        </is>
      </c>
      <c r="Q131" s="4" t="inlineStr">
        <is>
          <t>N/A</t>
        </is>
      </c>
      <c r="R131" s="8" t="n">
        <v>46254.68778045139</v>
      </c>
      <c r="S131" s="4" t="inlineStr">
        <is>
          <t>3.0.0</t>
        </is>
      </c>
      <c r="T131" s="4" t="inlineStr">
        <is>
          <t>1.8</t>
        </is>
      </c>
    </row>
    <row r="132">
      <c r="A132" s="4" t="inlineStr">
        <is>
          <t>Grizzly XL YO</t>
        </is>
      </c>
      <c r="B132" s="4" t="inlineStr">
        <is>
          <t>Master Model G25 Grizzly XL_TwoAge_5a_6a_14b_15a_B06</t>
        </is>
      </c>
      <c r="C132" s="4" t="inlineStr">
        <is>
          <t>JAGS_Male_2000</t>
        </is>
      </c>
      <c r="D132" s="5" t="n">
        <v>0.05</v>
      </c>
      <c r="E132" s="4" t="inlineStr">
        <is>
          <t>Variable</t>
        </is>
      </c>
      <c r="F132" s="4" t="inlineStr">
        <is>
          <t>Smoking initiation and cessation variable</t>
        </is>
      </c>
      <c r="G132" s="4" t="inlineStr">
        <is>
          <t>68 - 72</t>
        </is>
      </c>
      <c r="H132" s="4" t="inlineStr">
        <is>
          <t>ALL.T</t>
        </is>
      </c>
      <c r="I132" s="6" t="n">
        <v>679248.490393</v>
      </c>
      <c r="J132" s="7" t="n">
        <v>0.01</v>
      </c>
      <c r="K132" s="7" t="n">
        <v>0.009999999776482582</v>
      </c>
      <c r="L132" s="4" t="inlineStr">
        <is>
          <t>N/A</t>
        </is>
      </c>
      <c r="M132" s="4" t="inlineStr">
        <is>
          <t>N/A</t>
        </is>
      </c>
      <c r="N132" s="4" t="inlineStr">
        <is>
          <t>N/A</t>
        </is>
      </c>
      <c r="O132" s="4" t="inlineStr">
        <is>
          <t>N/A</t>
        </is>
      </c>
      <c r="P132" s="4" t="inlineStr">
        <is>
          <t>N/A</t>
        </is>
      </c>
      <c r="Q132" s="4" t="inlineStr">
        <is>
          <t>N/A</t>
        </is>
      </c>
      <c r="R132" s="8" t="n">
        <v>46254.68778045139</v>
      </c>
      <c r="S132" s="4" t="inlineStr">
        <is>
          <t>3.0.0</t>
        </is>
      </c>
      <c r="T132" s="4" t="inlineStr">
        <is>
          <t>1.8</t>
        </is>
      </c>
    </row>
    <row r="133">
      <c r="A133" s="4" t="inlineStr">
        <is>
          <t>Grizzly XL YO</t>
        </is>
      </c>
      <c r="B133" s="4" t="inlineStr">
        <is>
          <t>Master Model G25 Grizzly XL_TwoAge_5a_6a_14b_15a_B06</t>
        </is>
      </c>
      <c r="C133" s="4" t="inlineStr">
        <is>
          <t>JAGS_Male_2000</t>
        </is>
      </c>
      <c r="D133" s="5" t="n">
        <v>0.1</v>
      </c>
      <c r="E133" s="4" t="inlineStr">
        <is>
          <t>Variable</t>
        </is>
      </c>
      <c r="F133" s="4" t="inlineStr">
        <is>
          <t>Smoking initiation and cessation variable</t>
        </is>
      </c>
      <c r="G133" s="4" t="inlineStr">
        <is>
          <t>68 - 72</t>
        </is>
      </c>
      <c r="H133" s="4" t="inlineStr">
        <is>
          <t>DIFF_ALL</t>
        </is>
      </c>
      <c r="I133" s="6" t="n">
        <v>438.843727</v>
      </c>
      <c r="J133" s="7" t="n">
        <v>0.01</v>
      </c>
      <c r="K133" s="7" t="n">
        <v>0.009999999776482582</v>
      </c>
      <c r="L133" s="4" t="inlineStr">
        <is>
          <t>N/A</t>
        </is>
      </c>
      <c r="M133" s="4" t="inlineStr">
        <is>
          <t>N/A</t>
        </is>
      </c>
      <c r="N133" s="4" t="inlineStr">
        <is>
          <t>N/A</t>
        </is>
      </c>
      <c r="O133" s="4" t="inlineStr">
        <is>
          <t>N/A</t>
        </is>
      </c>
      <c r="P133" s="4" t="inlineStr">
        <is>
          <t>N/A</t>
        </is>
      </c>
      <c r="Q133" s="4" t="inlineStr">
        <is>
          <t>N/A</t>
        </is>
      </c>
      <c r="R133" s="8" t="n">
        <v>46254.68778045139</v>
      </c>
      <c r="S133" s="4" t="inlineStr">
        <is>
          <t>3.0.0</t>
        </is>
      </c>
      <c r="T133" s="4" t="inlineStr">
        <is>
          <t>1.8</t>
        </is>
      </c>
    </row>
    <row r="134">
      <c r="A134" s="4" t="inlineStr">
        <is>
          <t>Grizzly XL YO</t>
        </is>
      </c>
      <c r="B134" s="4" t="inlineStr">
        <is>
          <t>Master Model G25 Grizzly XL_TwoAge_5a_6a_14b_15a_B06</t>
        </is>
      </c>
      <c r="C134" s="4" t="inlineStr">
        <is>
          <t>JAGS_Male_2000</t>
        </is>
      </c>
      <c r="D134" s="5" t="n">
        <v>0.1</v>
      </c>
      <c r="E134" s="4" t="inlineStr">
        <is>
          <t>Variable</t>
        </is>
      </c>
      <c r="F134" s="4" t="inlineStr">
        <is>
          <t>Smoking initiation and cessation variable</t>
        </is>
      </c>
      <c r="G134" s="4" t="inlineStr">
        <is>
          <t>68 - 72</t>
        </is>
      </c>
      <c r="H134" s="4" t="inlineStr">
        <is>
          <t>ALL.T</t>
        </is>
      </c>
      <c r="I134" s="6" t="n">
        <v>679204.372374</v>
      </c>
      <c r="J134" s="7" t="n">
        <v>0.01</v>
      </c>
      <c r="K134" s="7" t="n">
        <v>0.009999999776482582</v>
      </c>
      <c r="L134" s="4" t="inlineStr">
        <is>
          <t>N/A</t>
        </is>
      </c>
      <c r="M134" s="4" t="inlineStr">
        <is>
          <t>N/A</t>
        </is>
      </c>
      <c r="N134" s="4" t="inlineStr">
        <is>
          <t>N/A</t>
        </is>
      </c>
      <c r="O134" s="4" t="inlineStr">
        <is>
          <t>N/A</t>
        </is>
      </c>
      <c r="P134" s="4" t="inlineStr">
        <is>
          <t>N/A</t>
        </is>
      </c>
      <c r="Q134" s="4" t="inlineStr">
        <is>
          <t>N/A</t>
        </is>
      </c>
      <c r="R134" s="8" t="n">
        <v>46254.68778045139</v>
      </c>
      <c r="S134" s="4" t="inlineStr">
        <is>
          <t>3.0.0</t>
        </is>
      </c>
      <c r="T134" s="4" t="inlineStr">
        <is>
          <t>1.8</t>
        </is>
      </c>
    </row>
    <row r="135">
      <c r="A135" s="4" t="inlineStr">
        <is>
          <t>Grizzly XL YO</t>
        </is>
      </c>
      <c r="B135" s="4" t="inlineStr">
        <is>
          <t>Master Model G25 Grizzly XL_TwoAge_5a_6a_14b_15a_B06</t>
        </is>
      </c>
      <c r="C135" s="4" t="inlineStr">
        <is>
          <t>JAGS_Female_2000</t>
        </is>
      </c>
      <c r="D135" s="5" t="n">
        <v>0.05</v>
      </c>
      <c r="E135" s="4" t="inlineStr">
        <is>
          <t>Variable</t>
        </is>
      </c>
      <c r="F135" s="4" t="inlineStr">
        <is>
          <t>Smoking initiation and cessation variable</t>
        </is>
      </c>
      <c r="G135" s="4" t="inlineStr">
        <is>
          <t>68 - 72</t>
        </is>
      </c>
      <c r="H135" s="4" t="inlineStr">
        <is>
          <t>DIFF_ALL</t>
        </is>
      </c>
      <c r="I135" s="6" t="n">
        <v>412.082402</v>
      </c>
      <c r="J135" s="7" t="n">
        <v>0.01</v>
      </c>
      <c r="K135" s="7" t="n">
        <v>0.009999999776482582</v>
      </c>
      <c r="L135" s="4" t="inlineStr">
        <is>
          <t>N/A</t>
        </is>
      </c>
      <c r="M135" s="4" t="inlineStr">
        <is>
          <t>N/A</t>
        </is>
      </c>
      <c r="N135" s="4" t="inlineStr">
        <is>
          <t>N/A</t>
        </is>
      </c>
      <c r="O135" s="4" t="inlineStr">
        <is>
          <t>N/A</t>
        </is>
      </c>
      <c r="P135" s="4" t="inlineStr">
        <is>
          <t>N/A</t>
        </is>
      </c>
      <c r="Q135" s="4" t="inlineStr">
        <is>
          <t>N/A</t>
        </is>
      </c>
      <c r="R135" s="8" t="n">
        <v>46254.68778046296</v>
      </c>
      <c r="S135" s="4" t="inlineStr">
        <is>
          <t>3.0.0</t>
        </is>
      </c>
      <c r="T135" s="4" t="inlineStr">
        <is>
          <t>1.8</t>
        </is>
      </c>
    </row>
    <row r="136">
      <c r="A136" s="4" t="inlineStr">
        <is>
          <t>Grizzly XL YO</t>
        </is>
      </c>
      <c r="B136" s="4" t="inlineStr">
        <is>
          <t>Master Model G25 Grizzly XL_TwoAge_5a_6a_14b_15a_B06</t>
        </is>
      </c>
      <c r="C136" s="4" t="inlineStr">
        <is>
          <t>JAGS_Female_2000</t>
        </is>
      </c>
      <c r="D136" s="5" t="n">
        <v>0.05</v>
      </c>
      <c r="E136" s="4" t="inlineStr">
        <is>
          <t>Variable</t>
        </is>
      </c>
      <c r="F136" s="4" t="inlineStr">
        <is>
          <t>Smoking initiation and cessation variable</t>
        </is>
      </c>
      <c r="G136" s="4" t="inlineStr">
        <is>
          <t>68 - 72</t>
        </is>
      </c>
      <c r="H136" s="4" t="inlineStr">
        <is>
          <t>ALL.T</t>
        </is>
      </c>
      <c r="I136" s="6" t="n">
        <v>785373.3918259999</v>
      </c>
      <c r="J136" s="7" t="n">
        <v>0.01</v>
      </c>
      <c r="K136" s="7" t="n">
        <v>0.009999999776482582</v>
      </c>
      <c r="L136" s="4" t="inlineStr">
        <is>
          <t>N/A</t>
        </is>
      </c>
      <c r="M136" s="4" t="inlineStr">
        <is>
          <t>N/A</t>
        </is>
      </c>
      <c r="N136" s="4" t="inlineStr">
        <is>
          <t>N/A</t>
        </is>
      </c>
      <c r="O136" s="4" t="inlineStr">
        <is>
          <t>N/A</t>
        </is>
      </c>
      <c r="P136" s="4" t="inlineStr">
        <is>
          <t>N/A</t>
        </is>
      </c>
      <c r="Q136" s="4" t="inlineStr">
        <is>
          <t>N/A</t>
        </is>
      </c>
      <c r="R136" s="8" t="n">
        <v>46254.68778046296</v>
      </c>
      <c r="S136" s="4" t="inlineStr">
        <is>
          <t>3.0.0</t>
        </is>
      </c>
      <c r="T136" s="4" t="inlineStr">
        <is>
          <t>1.8</t>
        </is>
      </c>
    </row>
    <row r="137">
      <c r="A137" s="4" t="inlineStr">
        <is>
          <t>Grizzly XL YO</t>
        </is>
      </c>
      <c r="B137" s="4" t="inlineStr">
        <is>
          <t>Master Model G25 Grizzly XL_TwoAge_5a_6a_14b_15a_B06</t>
        </is>
      </c>
      <c r="C137" s="4" t="inlineStr">
        <is>
          <t>JAGS_Female_2000</t>
        </is>
      </c>
      <c r="D137" s="5" t="n">
        <v>0.1</v>
      </c>
      <c r="E137" s="4" t="inlineStr">
        <is>
          <t>Variable</t>
        </is>
      </c>
      <c r="F137" s="4" t="inlineStr">
        <is>
          <t>Smoking initiation and cessation variable</t>
        </is>
      </c>
      <c r="G137" s="4" t="inlineStr">
        <is>
          <t>68 - 72</t>
        </is>
      </c>
      <c r="H137" s="4" t="inlineStr">
        <is>
          <t>DIFF_ALL</t>
        </is>
      </c>
      <c r="I137" s="6" t="n">
        <v>375.460868</v>
      </c>
      <c r="J137" s="7" t="n">
        <v>0.01</v>
      </c>
      <c r="K137" s="7" t="n">
        <v>0.009999999776482582</v>
      </c>
      <c r="L137" s="4" t="inlineStr">
        <is>
          <t>N/A</t>
        </is>
      </c>
      <c r="M137" s="4" t="inlineStr">
        <is>
          <t>N/A</t>
        </is>
      </c>
      <c r="N137" s="4" t="inlineStr">
        <is>
          <t>N/A</t>
        </is>
      </c>
      <c r="O137" s="4" t="inlineStr">
        <is>
          <t>N/A</t>
        </is>
      </c>
      <c r="P137" s="4" t="inlineStr">
        <is>
          <t>N/A</t>
        </is>
      </c>
      <c r="Q137" s="4" t="inlineStr">
        <is>
          <t>N/A</t>
        </is>
      </c>
      <c r="R137" s="8" t="n">
        <v>46254.68778046296</v>
      </c>
      <c r="S137" s="4" t="inlineStr">
        <is>
          <t>3.0.0</t>
        </is>
      </c>
      <c r="T137" s="4" t="inlineStr">
        <is>
          <t>1.8</t>
        </is>
      </c>
    </row>
    <row r="138">
      <c r="A138" s="4" t="inlineStr">
        <is>
          <t>Grizzly XL YO</t>
        </is>
      </c>
      <c r="B138" s="4" t="inlineStr">
        <is>
          <t>Master Model G25 Grizzly XL_TwoAge_5a_6a_14b_15a_B06</t>
        </is>
      </c>
      <c r="C138" s="4" t="inlineStr">
        <is>
          <t>JAGS_Female_2000</t>
        </is>
      </c>
      <c r="D138" s="5" t="n">
        <v>0.1</v>
      </c>
      <c r="E138" s="4" t="inlineStr">
        <is>
          <t>Variable</t>
        </is>
      </c>
      <c r="F138" s="4" t="inlineStr">
        <is>
          <t>Smoking initiation and cessation variable</t>
        </is>
      </c>
      <c r="G138" s="4" t="inlineStr">
        <is>
          <t>68 - 72</t>
        </is>
      </c>
      <c r="H138" s="4" t="inlineStr">
        <is>
          <t>ALL.T</t>
        </is>
      </c>
      <c r="I138" s="6" t="n">
        <v>785336.770292</v>
      </c>
      <c r="J138" s="7" t="n">
        <v>0.01</v>
      </c>
      <c r="K138" s="7" t="n">
        <v>0.009999999776482582</v>
      </c>
      <c r="L138" s="4" t="inlineStr">
        <is>
          <t>N/A</t>
        </is>
      </c>
      <c r="M138" s="4" t="inlineStr">
        <is>
          <t>N/A</t>
        </is>
      </c>
      <c r="N138" s="4" t="inlineStr">
        <is>
          <t>N/A</t>
        </is>
      </c>
      <c r="O138" s="4" t="inlineStr">
        <is>
          <t>N/A</t>
        </is>
      </c>
      <c r="P138" s="4" t="inlineStr">
        <is>
          <t>N/A</t>
        </is>
      </c>
      <c r="Q138" s="4" t="inlineStr">
        <is>
          <t>N/A</t>
        </is>
      </c>
      <c r="R138" s="8" t="n">
        <v>46254.68778046296</v>
      </c>
      <c r="S138" s="4" t="inlineStr">
        <is>
          <t>3.0.0</t>
        </is>
      </c>
      <c r="T138" s="4" t="inlineStr">
        <is>
          <t>1.8</t>
        </is>
      </c>
    </row>
    <row r="139">
      <c r="A139" s="4" t="inlineStr">
        <is>
          <t>Grizzly XL YO</t>
        </is>
      </c>
      <c r="B139" s="4" t="inlineStr">
        <is>
          <t>Master Model G25 Grizzly XL_TwoAge_5a_6a_14b_15a_B07</t>
        </is>
      </c>
      <c r="C139" s="4" t="inlineStr">
        <is>
          <t>JAGS_Male_2000</t>
        </is>
      </c>
      <c r="D139" s="5" t="n">
        <v>0.05</v>
      </c>
      <c r="E139" s="4" t="inlineStr">
        <is>
          <t>Variable</t>
        </is>
      </c>
      <c r="F139" s="4" t="inlineStr">
        <is>
          <t>Smoking initiation and cessation variable</t>
        </is>
      </c>
      <c r="G139" s="4" t="inlineStr">
        <is>
          <t>68 - 72</t>
        </is>
      </c>
      <c r="H139" s="4" t="inlineStr">
        <is>
          <t>DIFF_ALL</t>
        </is>
      </c>
      <c r="I139" s="6" t="n">
        <v>240.726768</v>
      </c>
      <c r="J139" s="7" t="n">
        <v>0.01</v>
      </c>
      <c r="K139" s="7" t="n">
        <v>0.009999999776482582</v>
      </c>
      <c r="L139" s="4" t="inlineStr">
        <is>
          <t>N/A</t>
        </is>
      </c>
      <c r="M139" s="4" t="inlineStr">
        <is>
          <t>N/A</t>
        </is>
      </c>
      <c r="N139" s="4" t="inlineStr">
        <is>
          <t>N/A</t>
        </is>
      </c>
      <c r="O139" s="4" t="inlineStr">
        <is>
          <t>N/A</t>
        </is>
      </c>
      <c r="P139" s="4" t="inlineStr">
        <is>
          <t>N/A</t>
        </is>
      </c>
      <c r="Q139" s="4" t="inlineStr">
        <is>
          <t>N/A</t>
        </is>
      </c>
      <c r="R139" s="8" t="n">
        <v>46254.68778046296</v>
      </c>
      <c r="S139" s="4" t="inlineStr">
        <is>
          <t>3.0.0</t>
        </is>
      </c>
      <c r="T139" s="4" t="inlineStr">
        <is>
          <t>1.8</t>
        </is>
      </c>
    </row>
    <row r="140">
      <c r="A140" s="4" t="inlineStr">
        <is>
          <t>Grizzly XL YO</t>
        </is>
      </c>
      <c r="B140" s="4" t="inlineStr">
        <is>
          <t>Master Model G25 Grizzly XL_TwoAge_5a_6a_14b_15a_B07</t>
        </is>
      </c>
      <c r="C140" s="4" t="inlineStr">
        <is>
          <t>JAGS_Male_2000</t>
        </is>
      </c>
      <c r="D140" s="5" t="n">
        <v>0.05</v>
      </c>
      <c r="E140" s="4" t="inlineStr">
        <is>
          <t>Variable</t>
        </is>
      </c>
      <c r="F140" s="4" t="inlineStr">
        <is>
          <t>Smoking initiation and cessation variable</t>
        </is>
      </c>
      <c r="G140" s="4" t="inlineStr">
        <is>
          <t>68 - 72</t>
        </is>
      </c>
      <c r="H140" s="4" t="inlineStr">
        <is>
          <t>ALL.T</t>
        </is>
      </c>
      <c r="I140" s="6" t="n">
        <v>679006.255415</v>
      </c>
      <c r="J140" s="7" t="n">
        <v>0.01</v>
      </c>
      <c r="K140" s="7" t="n">
        <v>0.009999999776482582</v>
      </c>
      <c r="L140" s="4" t="inlineStr">
        <is>
          <t>N/A</t>
        </is>
      </c>
      <c r="M140" s="4" t="inlineStr">
        <is>
          <t>N/A</t>
        </is>
      </c>
      <c r="N140" s="4" t="inlineStr">
        <is>
          <t>N/A</t>
        </is>
      </c>
      <c r="O140" s="4" t="inlineStr">
        <is>
          <t>N/A</t>
        </is>
      </c>
      <c r="P140" s="4" t="inlineStr">
        <is>
          <t>N/A</t>
        </is>
      </c>
      <c r="Q140" s="4" t="inlineStr">
        <is>
          <t>N/A</t>
        </is>
      </c>
      <c r="R140" s="8" t="n">
        <v>46254.68778046296</v>
      </c>
      <c r="S140" s="4" t="inlineStr">
        <is>
          <t>3.0.0</t>
        </is>
      </c>
      <c r="T140" s="4" t="inlineStr">
        <is>
          <t>1.8</t>
        </is>
      </c>
    </row>
    <row r="141">
      <c r="A141" s="4" t="inlineStr">
        <is>
          <t>Grizzly XL YO</t>
        </is>
      </c>
      <c r="B141" s="4" t="inlineStr">
        <is>
          <t>Master Model G25 Grizzly XL_TwoAge_5a_6a_14b_15a_B07</t>
        </is>
      </c>
      <c r="C141" s="4" t="inlineStr">
        <is>
          <t>JAGS_Male_2000</t>
        </is>
      </c>
      <c r="D141" s="5" t="n">
        <v>0.1</v>
      </c>
      <c r="E141" s="4" t="inlineStr">
        <is>
          <t>Variable</t>
        </is>
      </c>
      <c r="F141" s="4" t="inlineStr">
        <is>
          <t>Smoking initiation and cessation variable</t>
        </is>
      </c>
      <c r="G141" s="4" t="inlineStr">
        <is>
          <t>68 - 72</t>
        </is>
      </c>
      <c r="H141" s="4" t="inlineStr">
        <is>
          <t>DIFF_ALL</t>
        </is>
      </c>
      <c r="I141" s="6" t="n">
        <v>219.593357</v>
      </c>
      <c r="J141" s="7" t="n">
        <v>0.01</v>
      </c>
      <c r="K141" s="7" t="n">
        <v>0.009999999776482582</v>
      </c>
      <c r="L141" s="4" t="inlineStr">
        <is>
          <t>N/A</t>
        </is>
      </c>
      <c r="M141" s="4" t="inlineStr">
        <is>
          <t>N/A</t>
        </is>
      </c>
      <c r="N141" s="4" t="inlineStr">
        <is>
          <t>N/A</t>
        </is>
      </c>
      <c r="O141" s="4" t="inlineStr">
        <is>
          <t>N/A</t>
        </is>
      </c>
      <c r="P141" s="4" t="inlineStr">
        <is>
          <t>N/A</t>
        </is>
      </c>
      <c r="Q141" s="4" t="inlineStr">
        <is>
          <t>N/A</t>
        </is>
      </c>
      <c r="R141" s="8" t="n">
        <v>46254.68778046296</v>
      </c>
      <c r="S141" s="4" t="inlineStr">
        <is>
          <t>3.0.0</t>
        </is>
      </c>
      <c r="T141" s="4" t="inlineStr">
        <is>
          <t>1.8</t>
        </is>
      </c>
    </row>
    <row r="142">
      <c r="A142" s="4" t="inlineStr">
        <is>
          <t>Grizzly XL YO</t>
        </is>
      </c>
      <c r="B142" s="4" t="inlineStr">
        <is>
          <t>Master Model G25 Grizzly XL_TwoAge_5a_6a_14b_15a_B07</t>
        </is>
      </c>
      <c r="C142" s="4" t="inlineStr">
        <is>
          <t>JAGS_Male_2000</t>
        </is>
      </c>
      <c r="D142" s="5" t="n">
        <v>0.1</v>
      </c>
      <c r="E142" s="4" t="inlineStr">
        <is>
          <t>Variable</t>
        </is>
      </c>
      <c r="F142" s="4" t="inlineStr">
        <is>
          <t>Smoking initiation and cessation variable</t>
        </is>
      </c>
      <c r="G142" s="4" t="inlineStr">
        <is>
          <t>68 - 72</t>
        </is>
      </c>
      <c r="H142" s="4" t="inlineStr">
        <is>
          <t>ALL.T</t>
        </is>
      </c>
      <c r="I142" s="6" t="n">
        <v>678985.122004</v>
      </c>
      <c r="J142" s="7" t="n">
        <v>0.01</v>
      </c>
      <c r="K142" s="7" t="n">
        <v>0.009999999776482582</v>
      </c>
      <c r="L142" s="4" t="inlineStr">
        <is>
          <t>N/A</t>
        </is>
      </c>
      <c r="M142" s="4" t="inlineStr">
        <is>
          <t>N/A</t>
        </is>
      </c>
      <c r="N142" s="4" t="inlineStr">
        <is>
          <t>N/A</t>
        </is>
      </c>
      <c r="O142" s="4" t="inlineStr">
        <is>
          <t>N/A</t>
        </is>
      </c>
      <c r="P142" s="4" t="inlineStr">
        <is>
          <t>N/A</t>
        </is>
      </c>
      <c r="Q142" s="4" t="inlineStr">
        <is>
          <t>N/A</t>
        </is>
      </c>
      <c r="R142" s="8" t="n">
        <v>46254.68778046296</v>
      </c>
      <c r="S142" s="4" t="inlineStr">
        <is>
          <t>3.0.0</t>
        </is>
      </c>
      <c r="T142" s="4" t="inlineStr">
        <is>
          <t>1.8</t>
        </is>
      </c>
    </row>
    <row r="143">
      <c r="A143" s="4" t="inlineStr">
        <is>
          <t>Grizzly XL YO</t>
        </is>
      </c>
      <c r="B143" s="4" t="inlineStr">
        <is>
          <t>Master Model G25 Grizzly XL_TwoAge_5a_6a_14b_15a_B07</t>
        </is>
      </c>
      <c r="C143" s="4" t="inlineStr">
        <is>
          <t>JAGS_Female_2000</t>
        </is>
      </c>
      <c r="D143" s="5" t="n">
        <v>0.05</v>
      </c>
      <c r="E143" s="4" t="inlineStr">
        <is>
          <t>Variable</t>
        </is>
      </c>
      <c r="F143" s="4" t="inlineStr">
        <is>
          <t>Smoking initiation and cessation variable</t>
        </is>
      </c>
      <c r="G143" s="4" t="inlineStr">
        <is>
          <t>68 - 72</t>
        </is>
      </c>
      <c r="H143" s="4" t="inlineStr">
        <is>
          <t>DIFF_ALL</t>
        </is>
      </c>
      <c r="I143" s="6" t="n">
        <v>210.771363</v>
      </c>
      <c r="J143" s="7" t="n">
        <v>0.01</v>
      </c>
      <c r="K143" s="7" t="n">
        <v>0.009999999776482582</v>
      </c>
      <c r="L143" s="4" t="inlineStr">
        <is>
          <t>N/A</t>
        </is>
      </c>
      <c r="M143" s="4" t="inlineStr">
        <is>
          <t>N/A</t>
        </is>
      </c>
      <c r="N143" s="4" t="inlineStr">
        <is>
          <t>N/A</t>
        </is>
      </c>
      <c r="O143" s="4" t="inlineStr">
        <is>
          <t>N/A</t>
        </is>
      </c>
      <c r="P143" s="4" t="inlineStr">
        <is>
          <t>N/A</t>
        </is>
      </c>
      <c r="Q143" s="4" t="inlineStr">
        <is>
          <t>N/A</t>
        </is>
      </c>
      <c r="R143" s="8" t="n">
        <v>46254.68778046296</v>
      </c>
      <c r="S143" s="4" t="inlineStr">
        <is>
          <t>3.0.0</t>
        </is>
      </c>
      <c r="T143" s="4" t="inlineStr">
        <is>
          <t>1.8</t>
        </is>
      </c>
    </row>
    <row r="144">
      <c r="A144" s="4" t="inlineStr">
        <is>
          <t>Grizzly XL YO</t>
        </is>
      </c>
      <c r="B144" s="4" t="inlineStr">
        <is>
          <t>Master Model G25 Grizzly XL_TwoAge_5a_6a_14b_15a_B07</t>
        </is>
      </c>
      <c r="C144" s="4" t="inlineStr">
        <is>
          <t>JAGS_Female_2000</t>
        </is>
      </c>
      <c r="D144" s="5" t="n">
        <v>0.05</v>
      </c>
      <c r="E144" s="4" t="inlineStr">
        <is>
          <t>Variable</t>
        </is>
      </c>
      <c r="F144" s="4" t="inlineStr">
        <is>
          <t>Smoking initiation and cessation variable</t>
        </is>
      </c>
      <c r="G144" s="4" t="inlineStr">
        <is>
          <t>68 - 72</t>
        </is>
      </c>
      <c r="H144" s="4" t="inlineStr">
        <is>
          <t>ALL.T</t>
        </is>
      </c>
      <c r="I144" s="6" t="n">
        <v>785172.080787</v>
      </c>
      <c r="J144" s="7" t="n">
        <v>0.01</v>
      </c>
      <c r="K144" s="7" t="n">
        <v>0.009999999776482582</v>
      </c>
      <c r="L144" s="4" t="inlineStr">
        <is>
          <t>N/A</t>
        </is>
      </c>
      <c r="M144" s="4" t="inlineStr">
        <is>
          <t>N/A</t>
        </is>
      </c>
      <c r="N144" s="4" t="inlineStr">
        <is>
          <t>N/A</t>
        </is>
      </c>
      <c r="O144" s="4" t="inlineStr">
        <is>
          <t>N/A</t>
        </is>
      </c>
      <c r="P144" s="4" t="inlineStr">
        <is>
          <t>N/A</t>
        </is>
      </c>
      <c r="Q144" s="4" t="inlineStr">
        <is>
          <t>N/A</t>
        </is>
      </c>
      <c r="R144" s="8" t="n">
        <v>46254.68778046296</v>
      </c>
      <c r="S144" s="4" t="inlineStr">
        <is>
          <t>3.0.0</t>
        </is>
      </c>
      <c r="T144" s="4" t="inlineStr">
        <is>
          <t>1.8</t>
        </is>
      </c>
    </row>
    <row r="145">
      <c r="A145" s="4" t="inlineStr">
        <is>
          <t>Grizzly XL YO</t>
        </is>
      </c>
      <c r="B145" s="4" t="inlineStr">
        <is>
          <t>Master Model G25 Grizzly XL_TwoAge_5a_6a_14b_15a_B07</t>
        </is>
      </c>
      <c r="C145" s="4" t="inlineStr">
        <is>
          <t>JAGS_Female_2000</t>
        </is>
      </c>
      <c r="D145" s="5" t="n">
        <v>0.1</v>
      </c>
      <c r="E145" s="4" t="inlineStr">
        <is>
          <t>Variable</t>
        </is>
      </c>
      <c r="F145" s="4" t="inlineStr">
        <is>
          <t>Smoking initiation and cessation variable</t>
        </is>
      </c>
      <c r="G145" s="4" t="inlineStr">
        <is>
          <t>68 - 72</t>
        </is>
      </c>
      <c r="H145" s="4" t="inlineStr">
        <is>
          <t>DIFF_ALL</t>
        </is>
      </c>
      <c r="I145" s="6" t="n">
        <v>192.698342</v>
      </c>
      <c r="J145" s="7" t="n">
        <v>0.01</v>
      </c>
      <c r="K145" s="7" t="n">
        <v>0.009999999776482582</v>
      </c>
      <c r="L145" s="4" t="inlineStr">
        <is>
          <t>N/A</t>
        </is>
      </c>
      <c r="M145" s="4" t="inlineStr">
        <is>
          <t>N/A</t>
        </is>
      </c>
      <c r="N145" s="4" t="inlineStr">
        <is>
          <t>N/A</t>
        </is>
      </c>
      <c r="O145" s="4" t="inlineStr">
        <is>
          <t>N/A</t>
        </is>
      </c>
      <c r="P145" s="4" t="inlineStr">
        <is>
          <t>N/A</t>
        </is>
      </c>
      <c r="Q145" s="4" t="inlineStr">
        <is>
          <t>N/A</t>
        </is>
      </c>
      <c r="R145" s="8" t="n">
        <v>46254.68778046296</v>
      </c>
      <c r="S145" s="4" t="inlineStr">
        <is>
          <t>3.0.0</t>
        </is>
      </c>
      <c r="T145" s="4" t="inlineStr">
        <is>
          <t>1.8</t>
        </is>
      </c>
    </row>
    <row r="146">
      <c r="A146" s="4" t="inlineStr">
        <is>
          <t>Grizzly XL YO</t>
        </is>
      </c>
      <c r="B146" s="4" t="inlineStr">
        <is>
          <t>Master Model G25 Grizzly XL_TwoAge_5a_6a_14b_15a_B07</t>
        </is>
      </c>
      <c r="C146" s="4" t="inlineStr">
        <is>
          <t>JAGS_Female_2000</t>
        </is>
      </c>
      <c r="D146" s="5" t="n">
        <v>0.1</v>
      </c>
      <c r="E146" s="4" t="inlineStr">
        <is>
          <t>Variable</t>
        </is>
      </c>
      <c r="F146" s="4" t="inlineStr">
        <is>
          <t>Smoking initiation and cessation variable</t>
        </is>
      </c>
      <c r="G146" s="4" t="inlineStr">
        <is>
          <t>68 - 72</t>
        </is>
      </c>
      <c r="H146" s="4" t="inlineStr">
        <is>
          <t>ALL.T</t>
        </is>
      </c>
      <c r="I146" s="6" t="n">
        <v>785154.007765</v>
      </c>
      <c r="J146" s="7" t="n">
        <v>0.01</v>
      </c>
      <c r="K146" s="7" t="n">
        <v>0.009999999776482582</v>
      </c>
      <c r="L146" s="4" t="inlineStr">
        <is>
          <t>N/A</t>
        </is>
      </c>
      <c r="M146" s="4" t="inlineStr">
        <is>
          <t>N/A</t>
        </is>
      </c>
      <c r="N146" s="4" t="inlineStr">
        <is>
          <t>N/A</t>
        </is>
      </c>
      <c r="O146" s="4" t="inlineStr">
        <is>
          <t>N/A</t>
        </is>
      </c>
      <c r="P146" s="4" t="inlineStr">
        <is>
          <t>N/A</t>
        </is>
      </c>
      <c r="Q146" s="4" t="inlineStr">
        <is>
          <t>N/A</t>
        </is>
      </c>
      <c r="R146" s="8" t="n">
        <v>46254.68778046296</v>
      </c>
      <c r="S146" s="4" t="inlineStr">
        <is>
          <t>3.0.0</t>
        </is>
      </c>
      <c r="T146" s="4" t="inlineStr">
        <is>
          <t>1.8</t>
        </is>
      </c>
    </row>
    <row r="147">
      <c r="A147" s="4" t="inlineStr">
        <is>
          <t>Grizzly XL YO</t>
        </is>
      </c>
      <c r="B147" s="4" t="inlineStr">
        <is>
          <t>Master Model G25 Grizzly XL_TwoAge_5a_6a_14b_15a_B08</t>
        </is>
      </c>
      <c r="C147" s="4" t="inlineStr">
        <is>
          <t>JAGS_Male_2000</t>
        </is>
      </c>
      <c r="D147" s="5" t="n">
        <v>0.05</v>
      </c>
      <c r="E147" s="4" t="inlineStr">
        <is>
          <t>Variable</t>
        </is>
      </c>
      <c r="F147" s="4" t="inlineStr">
        <is>
          <t>Smoking initiation and cessation variable</t>
        </is>
      </c>
      <c r="G147" s="4" t="inlineStr">
        <is>
          <t>68 - 72</t>
        </is>
      </c>
      <c r="H147" s="4" t="inlineStr">
        <is>
          <t>DIFF_ALL</t>
        </is>
      </c>
      <c r="I147" s="6" t="n">
        <v>79.6798</v>
      </c>
      <c r="J147" s="7" t="n">
        <v>0.01</v>
      </c>
      <c r="K147" s="7" t="n">
        <v>0.009999999776482582</v>
      </c>
      <c r="L147" s="4" t="inlineStr">
        <is>
          <t>N/A</t>
        </is>
      </c>
      <c r="M147" s="4" t="inlineStr">
        <is>
          <t>N/A</t>
        </is>
      </c>
      <c r="N147" s="4" t="inlineStr">
        <is>
          <t>N/A</t>
        </is>
      </c>
      <c r="O147" s="4" t="inlineStr">
        <is>
          <t>N/A</t>
        </is>
      </c>
      <c r="P147" s="4" t="inlineStr">
        <is>
          <t>N/A</t>
        </is>
      </c>
      <c r="Q147" s="4" t="inlineStr">
        <is>
          <t>N/A</t>
        </is>
      </c>
      <c r="R147" s="8" t="n">
        <v>46254.68778046296</v>
      </c>
      <c r="S147" s="4" t="inlineStr">
        <is>
          <t>3.0.0</t>
        </is>
      </c>
      <c r="T147" s="4" t="inlineStr">
        <is>
          <t>1.8</t>
        </is>
      </c>
    </row>
    <row r="148">
      <c r="A148" s="4" t="inlineStr">
        <is>
          <t>Grizzly XL YO</t>
        </is>
      </c>
      <c r="B148" s="4" t="inlineStr">
        <is>
          <t>Master Model G25 Grizzly XL_TwoAge_5a_6a_14b_15a_B08</t>
        </is>
      </c>
      <c r="C148" s="4" t="inlineStr">
        <is>
          <t>JAGS_Male_2000</t>
        </is>
      </c>
      <c r="D148" s="5" t="n">
        <v>0.05</v>
      </c>
      <c r="E148" s="4" t="inlineStr">
        <is>
          <t>Variable</t>
        </is>
      </c>
      <c r="F148" s="4" t="inlineStr">
        <is>
          <t>Smoking initiation and cessation variable</t>
        </is>
      </c>
      <c r="G148" s="4" t="inlineStr">
        <is>
          <t>68 - 72</t>
        </is>
      </c>
      <c r="H148" s="4" t="inlineStr">
        <is>
          <t>ALL.T</t>
        </is>
      </c>
      <c r="I148" s="6" t="n">
        <v>678845.208446</v>
      </c>
      <c r="J148" s="7" t="n">
        <v>0.01</v>
      </c>
      <c r="K148" s="7" t="n">
        <v>0.009999999776482582</v>
      </c>
      <c r="L148" s="4" t="inlineStr">
        <is>
          <t>N/A</t>
        </is>
      </c>
      <c r="M148" s="4" t="inlineStr">
        <is>
          <t>N/A</t>
        </is>
      </c>
      <c r="N148" s="4" t="inlineStr">
        <is>
          <t>N/A</t>
        </is>
      </c>
      <c r="O148" s="4" t="inlineStr">
        <is>
          <t>N/A</t>
        </is>
      </c>
      <c r="P148" s="4" t="inlineStr">
        <is>
          <t>N/A</t>
        </is>
      </c>
      <c r="Q148" s="4" t="inlineStr">
        <is>
          <t>N/A</t>
        </is>
      </c>
      <c r="R148" s="8" t="n">
        <v>46254.68778046296</v>
      </c>
      <c r="S148" s="4" t="inlineStr">
        <is>
          <t>3.0.0</t>
        </is>
      </c>
      <c r="T148" s="4" t="inlineStr">
        <is>
          <t>1.8</t>
        </is>
      </c>
    </row>
    <row r="149">
      <c r="A149" s="4" t="inlineStr">
        <is>
          <t>Grizzly XL YO</t>
        </is>
      </c>
      <c r="B149" s="4" t="inlineStr">
        <is>
          <t>Master Model G25 Grizzly XL_TwoAge_5a_6a_14b_15a_B08</t>
        </is>
      </c>
      <c r="C149" s="4" t="inlineStr">
        <is>
          <t>JAGS_Male_2000</t>
        </is>
      </c>
      <c r="D149" s="5" t="n">
        <v>0.1</v>
      </c>
      <c r="E149" s="4" t="inlineStr">
        <is>
          <t>Variable</t>
        </is>
      </c>
      <c r="F149" s="4" t="inlineStr">
        <is>
          <t>Smoking initiation and cessation variable</t>
        </is>
      </c>
      <c r="G149" s="4" t="inlineStr">
        <is>
          <t>68 - 72</t>
        </is>
      </c>
      <c r="H149" s="4" t="inlineStr">
        <is>
          <t>DIFF_ALL</t>
        </is>
      </c>
      <c r="I149" s="6" t="n">
        <v>73.49075499999999</v>
      </c>
      <c r="J149" s="7" t="n">
        <v>0.01</v>
      </c>
      <c r="K149" s="7" t="n">
        <v>0.009999999776482582</v>
      </c>
      <c r="L149" s="4" t="inlineStr">
        <is>
          <t>N/A</t>
        </is>
      </c>
      <c r="M149" s="4" t="inlineStr">
        <is>
          <t>N/A</t>
        </is>
      </c>
      <c r="N149" s="4" t="inlineStr">
        <is>
          <t>N/A</t>
        </is>
      </c>
      <c r="O149" s="4" t="inlineStr">
        <is>
          <t>N/A</t>
        </is>
      </c>
      <c r="P149" s="4" t="inlineStr">
        <is>
          <t>N/A</t>
        </is>
      </c>
      <c r="Q149" s="4" t="inlineStr">
        <is>
          <t>N/A</t>
        </is>
      </c>
      <c r="R149" s="8" t="n">
        <v>46254.68778046296</v>
      </c>
      <c r="S149" s="4" t="inlineStr">
        <is>
          <t>3.0.0</t>
        </is>
      </c>
      <c r="T149" s="4" t="inlineStr">
        <is>
          <t>1.8</t>
        </is>
      </c>
    </row>
    <row r="150">
      <c r="A150" s="4" t="inlineStr">
        <is>
          <t>Grizzly XL YO</t>
        </is>
      </c>
      <c r="B150" s="4" t="inlineStr">
        <is>
          <t>Master Model G25 Grizzly XL_TwoAge_5a_6a_14b_15a_B08</t>
        </is>
      </c>
      <c r="C150" s="4" t="inlineStr">
        <is>
          <t>JAGS_Male_2000</t>
        </is>
      </c>
      <c r="D150" s="5" t="n">
        <v>0.1</v>
      </c>
      <c r="E150" s="4" t="inlineStr">
        <is>
          <t>Variable</t>
        </is>
      </c>
      <c r="F150" s="4" t="inlineStr">
        <is>
          <t>Smoking initiation and cessation variable</t>
        </is>
      </c>
      <c r="G150" s="4" t="inlineStr">
        <is>
          <t>68 - 72</t>
        </is>
      </c>
      <c r="H150" s="4" t="inlineStr">
        <is>
          <t>ALL.T</t>
        </is>
      </c>
      <c r="I150" s="6" t="n">
        <v>678839.019402</v>
      </c>
      <c r="J150" s="7" t="n">
        <v>0.01</v>
      </c>
      <c r="K150" s="7" t="n">
        <v>0.009999999776482582</v>
      </c>
      <c r="L150" s="4" t="inlineStr">
        <is>
          <t>N/A</t>
        </is>
      </c>
      <c r="M150" s="4" t="inlineStr">
        <is>
          <t>N/A</t>
        </is>
      </c>
      <c r="N150" s="4" t="inlineStr">
        <is>
          <t>N/A</t>
        </is>
      </c>
      <c r="O150" s="4" t="inlineStr">
        <is>
          <t>N/A</t>
        </is>
      </c>
      <c r="P150" s="4" t="inlineStr">
        <is>
          <t>N/A</t>
        </is>
      </c>
      <c r="Q150" s="4" t="inlineStr">
        <is>
          <t>N/A</t>
        </is>
      </c>
      <c r="R150" s="8" t="n">
        <v>46254.68778046296</v>
      </c>
      <c r="S150" s="4" t="inlineStr">
        <is>
          <t>3.0.0</t>
        </is>
      </c>
      <c r="T150" s="4" t="inlineStr">
        <is>
          <t>1.8</t>
        </is>
      </c>
    </row>
    <row r="151">
      <c r="A151" s="4" t="inlineStr">
        <is>
          <t>Grizzly XL YO</t>
        </is>
      </c>
      <c r="B151" s="4" t="inlineStr">
        <is>
          <t>Master Model G25 Grizzly XL_TwoAge_5a_6a_14b_15a_B08</t>
        </is>
      </c>
      <c r="C151" s="4" t="inlineStr">
        <is>
          <t>JAGS_Female_2000</t>
        </is>
      </c>
      <c r="D151" s="5" t="n">
        <v>0.05</v>
      </c>
      <c r="E151" s="4" t="inlineStr">
        <is>
          <t>Variable</t>
        </is>
      </c>
      <c r="F151" s="4" t="inlineStr">
        <is>
          <t>Smoking initiation and cessation variable</t>
        </is>
      </c>
      <c r="G151" s="4" t="inlineStr">
        <is>
          <t>68 - 72</t>
        </is>
      </c>
      <c r="H151" s="4" t="inlineStr">
        <is>
          <t>DIFF_ALL</t>
        </is>
      </c>
      <c r="I151" s="6" t="n">
        <v>71.73335299999999</v>
      </c>
      <c r="J151" s="7" t="n">
        <v>0.01</v>
      </c>
      <c r="K151" s="7" t="n">
        <v>0.009999999776482582</v>
      </c>
      <c r="L151" s="4" t="inlineStr">
        <is>
          <t>N/A</t>
        </is>
      </c>
      <c r="M151" s="4" t="inlineStr">
        <is>
          <t>N/A</t>
        </is>
      </c>
      <c r="N151" s="4" t="inlineStr">
        <is>
          <t>N/A</t>
        </is>
      </c>
      <c r="O151" s="4" t="inlineStr">
        <is>
          <t>N/A</t>
        </is>
      </c>
      <c r="P151" s="4" t="inlineStr">
        <is>
          <t>N/A</t>
        </is>
      </c>
      <c r="Q151" s="4" t="inlineStr">
        <is>
          <t>N/A</t>
        </is>
      </c>
      <c r="R151" s="8" t="n">
        <v>46254.68778046296</v>
      </c>
      <c r="S151" s="4" t="inlineStr">
        <is>
          <t>3.0.0</t>
        </is>
      </c>
      <c r="T151" s="4" t="inlineStr">
        <is>
          <t>1.8</t>
        </is>
      </c>
    </row>
    <row r="152">
      <c r="A152" s="4" t="inlineStr">
        <is>
          <t>Grizzly XL YO</t>
        </is>
      </c>
      <c r="B152" s="4" t="inlineStr">
        <is>
          <t>Master Model G25 Grizzly XL_TwoAge_5a_6a_14b_15a_B08</t>
        </is>
      </c>
      <c r="C152" s="4" t="inlineStr">
        <is>
          <t>JAGS_Female_2000</t>
        </is>
      </c>
      <c r="D152" s="5" t="n">
        <v>0.05</v>
      </c>
      <c r="E152" s="4" t="inlineStr">
        <is>
          <t>Variable</t>
        </is>
      </c>
      <c r="F152" s="4" t="inlineStr">
        <is>
          <t>Smoking initiation and cessation variable</t>
        </is>
      </c>
      <c r="G152" s="4" t="inlineStr">
        <is>
          <t>68 - 72</t>
        </is>
      </c>
      <c r="H152" s="4" t="inlineStr">
        <is>
          <t>ALL.T</t>
        </is>
      </c>
      <c r="I152" s="6" t="n">
        <v>785033.042777</v>
      </c>
      <c r="J152" s="7" t="n">
        <v>0.01</v>
      </c>
      <c r="K152" s="7" t="n">
        <v>0.009999999776482582</v>
      </c>
      <c r="L152" s="4" t="inlineStr">
        <is>
          <t>N/A</t>
        </is>
      </c>
      <c r="M152" s="4" t="inlineStr">
        <is>
          <t>N/A</t>
        </is>
      </c>
      <c r="N152" s="4" t="inlineStr">
        <is>
          <t>N/A</t>
        </is>
      </c>
      <c r="O152" s="4" t="inlineStr">
        <is>
          <t>N/A</t>
        </is>
      </c>
      <c r="P152" s="4" t="inlineStr">
        <is>
          <t>N/A</t>
        </is>
      </c>
      <c r="Q152" s="4" t="inlineStr">
        <is>
          <t>N/A</t>
        </is>
      </c>
      <c r="R152" s="8" t="n">
        <v>46254.68778046296</v>
      </c>
      <c r="S152" s="4" t="inlineStr">
        <is>
          <t>3.0.0</t>
        </is>
      </c>
      <c r="T152" s="4" t="inlineStr">
        <is>
          <t>1.8</t>
        </is>
      </c>
    </row>
    <row r="153">
      <c r="A153" s="4" t="inlineStr">
        <is>
          <t>Grizzly XL YO</t>
        </is>
      </c>
      <c r="B153" s="4" t="inlineStr">
        <is>
          <t>Master Model G25 Grizzly XL_TwoAge_5a_6a_14b_15a_B08</t>
        </is>
      </c>
      <c r="C153" s="4" t="inlineStr">
        <is>
          <t>JAGS_Female_2000</t>
        </is>
      </c>
      <c r="D153" s="5" t="n">
        <v>0.1</v>
      </c>
      <c r="E153" s="4" t="inlineStr">
        <is>
          <t>Variable</t>
        </is>
      </c>
      <c r="F153" s="4" t="inlineStr">
        <is>
          <t>Smoking initiation and cessation variable</t>
        </is>
      </c>
      <c r="G153" s="4" t="inlineStr">
        <is>
          <t>68 - 72</t>
        </is>
      </c>
      <c r="H153" s="4" t="inlineStr">
        <is>
          <t>DIFF_ALL</t>
        </is>
      </c>
      <c r="I153" s="6" t="n">
        <v>66.24067100000001</v>
      </c>
      <c r="J153" s="7" t="n">
        <v>0.01</v>
      </c>
      <c r="K153" s="7" t="n">
        <v>0.009999999776482582</v>
      </c>
      <c r="L153" s="4" t="inlineStr">
        <is>
          <t>N/A</t>
        </is>
      </c>
      <c r="M153" s="4" t="inlineStr">
        <is>
          <t>N/A</t>
        </is>
      </c>
      <c r="N153" s="4" t="inlineStr">
        <is>
          <t>N/A</t>
        </is>
      </c>
      <c r="O153" s="4" t="inlineStr">
        <is>
          <t>N/A</t>
        </is>
      </c>
      <c r="P153" s="4" t="inlineStr">
        <is>
          <t>N/A</t>
        </is>
      </c>
      <c r="Q153" s="4" t="inlineStr">
        <is>
          <t>N/A</t>
        </is>
      </c>
      <c r="R153" s="8" t="n">
        <v>46254.68778046296</v>
      </c>
      <c r="S153" s="4" t="inlineStr">
        <is>
          <t>3.0.0</t>
        </is>
      </c>
      <c r="T153" s="4" t="inlineStr">
        <is>
          <t>1.8</t>
        </is>
      </c>
    </row>
    <row r="154">
      <c r="A154" s="4" t="inlineStr">
        <is>
          <t>Grizzly XL YO</t>
        </is>
      </c>
      <c r="B154" s="4" t="inlineStr">
        <is>
          <t>Master Model G25 Grizzly XL_TwoAge_5a_6a_14b_15a_B08</t>
        </is>
      </c>
      <c r="C154" s="4" t="inlineStr">
        <is>
          <t>JAGS_Female_2000</t>
        </is>
      </c>
      <c r="D154" s="5" t="n">
        <v>0.1</v>
      </c>
      <c r="E154" s="4" t="inlineStr">
        <is>
          <t>Variable</t>
        </is>
      </c>
      <c r="F154" s="4" t="inlineStr">
        <is>
          <t>Smoking initiation and cessation variable</t>
        </is>
      </c>
      <c r="G154" s="4" t="inlineStr">
        <is>
          <t>68 - 72</t>
        </is>
      </c>
      <c r="H154" s="4" t="inlineStr">
        <is>
          <t>ALL.T</t>
        </is>
      </c>
      <c r="I154" s="6" t="n">
        <v>785027.5500939999</v>
      </c>
      <c r="J154" s="7" t="n">
        <v>0.01</v>
      </c>
      <c r="K154" s="7" t="n">
        <v>0.009999999776482582</v>
      </c>
      <c r="L154" s="4" t="inlineStr">
        <is>
          <t>N/A</t>
        </is>
      </c>
      <c r="M154" s="4" t="inlineStr">
        <is>
          <t>N/A</t>
        </is>
      </c>
      <c r="N154" s="4" t="inlineStr">
        <is>
          <t>N/A</t>
        </is>
      </c>
      <c r="O154" s="4" t="inlineStr">
        <is>
          <t>N/A</t>
        </is>
      </c>
      <c r="P154" s="4" t="inlineStr">
        <is>
          <t>N/A</t>
        </is>
      </c>
      <c r="Q154" s="4" t="inlineStr">
        <is>
          <t>N/A</t>
        </is>
      </c>
      <c r="R154" s="8" t="n">
        <v>46254.68778046296</v>
      </c>
      <c r="S154" s="4" t="inlineStr">
        <is>
          <t>3.0.0</t>
        </is>
      </c>
      <c r="T154" s="4" t="inlineStr">
        <is>
          <t>1.8</t>
        </is>
      </c>
    </row>
    <row r="155">
      <c r="A155" s="4" t="inlineStr">
        <is>
          <t>Grizzly XL YO</t>
        </is>
      </c>
      <c r="B155" s="4" t="inlineStr">
        <is>
          <t>Master Model G25 Grizzly XL_TwoAge_5a_6a_14b_15a_B09</t>
        </is>
      </c>
      <c r="C155" s="4" t="inlineStr">
        <is>
          <t>JAGS_Male_2000</t>
        </is>
      </c>
      <c r="D155" s="5" t="n">
        <v>0.05</v>
      </c>
      <c r="E155" s="4" t="inlineStr">
        <is>
          <t>Variable</t>
        </is>
      </c>
      <c r="F155" s="4" t="inlineStr">
        <is>
          <t>Smoking initiation and cessation variable</t>
        </is>
      </c>
      <c r="G155" s="4" t="inlineStr">
        <is>
          <t>68 - 72</t>
        </is>
      </c>
      <c r="H155" s="4" t="inlineStr">
        <is>
          <t>DIFF_ALL</t>
        </is>
      </c>
      <c r="I155" s="6" t="n">
        <v>22.282647</v>
      </c>
      <c r="J155" s="7" t="n">
        <v>0.01</v>
      </c>
      <c r="K155" s="7" t="n">
        <v>0.009999999776482582</v>
      </c>
      <c r="L155" s="4" t="inlineStr">
        <is>
          <t>N/A</t>
        </is>
      </c>
      <c r="M155" s="4" t="inlineStr">
        <is>
          <t>N/A</t>
        </is>
      </c>
      <c r="N155" s="4" t="inlineStr">
        <is>
          <t>N/A</t>
        </is>
      </c>
      <c r="O155" s="4" t="inlineStr">
        <is>
          <t>N/A</t>
        </is>
      </c>
      <c r="P155" s="4" t="inlineStr">
        <is>
          <t>N/A</t>
        </is>
      </c>
      <c r="Q155" s="4" t="inlineStr">
        <is>
          <t>N/A</t>
        </is>
      </c>
      <c r="R155" s="8" t="n">
        <v>46254.68778046296</v>
      </c>
      <c r="S155" s="4" t="inlineStr">
        <is>
          <t>3.0.0</t>
        </is>
      </c>
      <c r="T155" s="4" t="inlineStr">
        <is>
          <t>1.8</t>
        </is>
      </c>
    </row>
    <row r="156">
      <c r="A156" s="4" t="inlineStr">
        <is>
          <t>Grizzly XL YO</t>
        </is>
      </c>
      <c r="B156" s="4" t="inlineStr">
        <is>
          <t>Master Model G25 Grizzly XL_TwoAge_5a_6a_14b_15a_B09</t>
        </is>
      </c>
      <c r="C156" s="4" t="inlineStr">
        <is>
          <t>JAGS_Male_2000</t>
        </is>
      </c>
      <c r="D156" s="5" t="n">
        <v>0.05</v>
      </c>
      <c r="E156" s="4" t="inlineStr">
        <is>
          <t>Variable</t>
        </is>
      </c>
      <c r="F156" s="4" t="inlineStr">
        <is>
          <t>Smoking initiation and cessation variable</t>
        </is>
      </c>
      <c r="G156" s="4" t="inlineStr">
        <is>
          <t>68 - 72</t>
        </is>
      </c>
      <c r="H156" s="4" t="inlineStr">
        <is>
          <t>ALL.T</t>
        </is>
      </c>
      <c r="I156" s="6" t="n">
        <v>678787.811293</v>
      </c>
      <c r="J156" s="7" t="n">
        <v>0.01</v>
      </c>
      <c r="K156" s="7" t="n">
        <v>0.009999999776482582</v>
      </c>
      <c r="L156" s="4" t="inlineStr">
        <is>
          <t>N/A</t>
        </is>
      </c>
      <c r="M156" s="4" t="inlineStr">
        <is>
          <t>N/A</t>
        </is>
      </c>
      <c r="N156" s="4" t="inlineStr">
        <is>
          <t>N/A</t>
        </is>
      </c>
      <c r="O156" s="4" t="inlineStr">
        <is>
          <t>N/A</t>
        </is>
      </c>
      <c r="P156" s="4" t="inlineStr">
        <is>
          <t>N/A</t>
        </is>
      </c>
      <c r="Q156" s="4" t="inlineStr">
        <is>
          <t>N/A</t>
        </is>
      </c>
      <c r="R156" s="8" t="n">
        <v>46254.68778046296</v>
      </c>
      <c r="S156" s="4" t="inlineStr">
        <is>
          <t>3.0.0</t>
        </is>
      </c>
      <c r="T156" s="4" t="inlineStr">
        <is>
          <t>1.8</t>
        </is>
      </c>
    </row>
    <row r="157">
      <c r="A157" s="4" t="inlineStr">
        <is>
          <t>Grizzly XL YO</t>
        </is>
      </c>
      <c r="B157" s="4" t="inlineStr">
        <is>
          <t>Master Model G25 Grizzly XL_TwoAge_5a_6a_14b_15a_B09</t>
        </is>
      </c>
      <c r="C157" s="4" t="inlineStr">
        <is>
          <t>JAGS_Male_2000</t>
        </is>
      </c>
      <c r="D157" s="5" t="n">
        <v>0.1</v>
      </c>
      <c r="E157" s="4" t="inlineStr">
        <is>
          <t>Variable</t>
        </is>
      </c>
      <c r="F157" s="4" t="inlineStr">
        <is>
          <t>Smoking initiation and cessation variable</t>
        </is>
      </c>
      <c r="G157" s="4" t="inlineStr">
        <is>
          <t>68 - 72</t>
        </is>
      </c>
      <c r="H157" s="4" t="inlineStr">
        <is>
          <t>DIFF_ALL</t>
        </is>
      </c>
      <c r="I157" s="6" t="n">
        <v>20.225705</v>
      </c>
      <c r="J157" s="7" t="n">
        <v>0.01</v>
      </c>
      <c r="K157" s="7" t="n">
        <v>0.009999999776482582</v>
      </c>
      <c r="L157" s="4" t="inlineStr">
        <is>
          <t>N/A</t>
        </is>
      </c>
      <c r="M157" s="4" t="inlineStr">
        <is>
          <t>N/A</t>
        </is>
      </c>
      <c r="N157" s="4" t="inlineStr">
        <is>
          <t>N/A</t>
        </is>
      </c>
      <c r="O157" s="4" t="inlineStr">
        <is>
          <t>N/A</t>
        </is>
      </c>
      <c r="P157" s="4" t="inlineStr">
        <is>
          <t>N/A</t>
        </is>
      </c>
      <c r="Q157" s="4" t="inlineStr">
        <is>
          <t>N/A</t>
        </is>
      </c>
      <c r="R157" s="8" t="n">
        <v>46254.68778046296</v>
      </c>
      <c r="S157" s="4" t="inlineStr">
        <is>
          <t>3.0.0</t>
        </is>
      </c>
      <c r="T157" s="4" t="inlineStr">
        <is>
          <t>1.8</t>
        </is>
      </c>
    </row>
    <row r="158">
      <c r="A158" s="4" t="inlineStr">
        <is>
          <t>Grizzly XL YO</t>
        </is>
      </c>
      <c r="B158" s="4" t="inlineStr">
        <is>
          <t>Master Model G25 Grizzly XL_TwoAge_5a_6a_14b_15a_B09</t>
        </is>
      </c>
      <c r="C158" s="4" t="inlineStr">
        <is>
          <t>JAGS_Male_2000</t>
        </is>
      </c>
      <c r="D158" s="5" t="n">
        <v>0.1</v>
      </c>
      <c r="E158" s="4" t="inlineStr">
        <is>
          <t>Variable</t>
        </is>
      </c>
      <c r="F158" s="4" t="inlineStr">
        <is>
          <t>Smoking initiation and cessation variable</t>
        </is>
      </c>
      <c r="G158" s="4" t="inlineStr">
        <is>
          <t>68 - 72</t>
        </is>
      </c>
      <c r="H158" s="4" t="inlineStr">
        <is>
          <t>ALL.T</t>
        </is>
      </c>
      <c r="I158" s="6" t="n">
        <v>678785.754352</v>
      </c>
      <c r="J158" s="7" t="n">
        <v>0.01</v>
      </c>
      <c r="K158" s="7" t="n">
        <v>0.009999999776482582</v>
      </c>
      <c r="L158" s="4" t="inlineStr">
        <is>
          <t>N/A</t>
        </is>
      </c>
      <c r="M158" s="4" t="inlineStr">
        <is>
          <t>N/A</t>
        </is>
      </c>
      <c r="N158" s="4" t="inlineStr">
        <is>
          <t>N/A</t>
        </is>
      </c>
      <c r="O158" s="4" t="inlineStr">
        <is>
          <t>N/A</t>
        </is>
      </c>
      <c r="P158" s="4" t="inlineStr">
        <is>
          <t>N/A</t>
        </is>
      </c>
      <c r="Q158" s="4" t="inlineStr">
        <is>
          <t>N/A</t>
        </is>
      </c>
      <c r="R158" s="8" t="n">
        <v>46254.68778046296</v>
      </c>
      <c r="S158" s="4" t="inlineStr">
        <is>
          <t>3.0.0</t>
        </is>
      </c>
      <c r="T158" s="4" t="inlineStr">
        <is>
          <t>1.8</t>
        </is>
      </c>
    </row>
    <row r="159">
      <c r="A159" s="4" t="inlineStr">
        <is>
          <t>Grizzly XL YO</t>
        </is>
      </c>
      <c r="B159" s="4" t="inlineStr">
        <is>
          <t>Master Model G25 Grizzly XL_TwoAge_5a_6a_14b_15a_B09</t>
        </is>
      </c>
      <c r="C159" s="4" t="inlineStr">
        <is>
          <t>JAGS_Female_2000</t>
        </is>
      </c>
      <c r="D159" s="5" t="n">
        <v>0.05</v>
      </c>
      <c r="E159" s="4" t="inlineStr">
        <is>
          <t>Variable</t>
        </is>
      </c>
      <c r="F159" s="4" t="inlineStr">
        <is>
          <t>Smoking initiation and cessation variable</t>
        </is>
      </c>
      <c r="G159" s="4" t="inlineStr">
        <is>
          <t>68 - 72</t>
        </is>
      </c>
      <c r="H159" s="4" t="inlineStr">
        <is>
          <t>DIFF_ALL</t>
        </is>
      </c>
      <c r="I159" s="6" t="n">
        <v>20.745884</v>
      </c>
      <c r="J159" s="7" t="n">
        <v>0.01</v>
      </c>
      <c r="K159" s="7" t="n">
        <v>0.009999999776482582</v>
      </c>
      <c r="L159" s="4" t="inlineStr">
        <is>
          <t>N/A</t>
        </is>
      </c>
      <c r="M159" s="4" t="inlineStr">
        <is>
          <t>N/A</t>
        </is>
      </c>
      <c r="N159" s="4" t="inlineStr">
        <is>
          <t>N/A</t>
        </is>
      </c>
      <c r="O159" s="4" t="inlineStr">
        <is>
          <t>N/A</t>
        </is>
      </c>
      <c r="P159" s="4" t="inlineStr">
        <is>
          <t>N/A</t>
        </is>
      </c>
      <c r="Q159" s="4" t="inlineStr">
        <is>
          <t>N/A</t>
        </is>
      </c>
      <c r="R159" s="8" t="n">
        <v>46254.68778046296</v>
      </c>
      <c r="S159" s="4" t="inlineStr">
        <is>
          <t>3.0.0</t>
        </is>
      </c>
      <c r="T159" s="4" t="inlineStr">
        <is>
          <t>1.8</t>
        </is>
      </c>
    </row>
    <row r="160">
      <c r="A160" s="4" t="inlineStr">
        <is>
          <t>Grizzly XL YO</t>
        </is>
      </c>
      <c r="B160" s="4" t="inlineStr">
        <is>
          <t>Master Model G25 Grizzly XL_TwoAge_5a_6a_14b_15a_B09</t>
        </is>
      </c>
      <c r="C160" s="4" t="inlineStr">
        <is>
          <t>JAGS_Female_2000</t>
        </is>
      </c>
      <c r="D160" s="5" t="n">
        <v>0.05</v>
      </c>
      <c r="E160" s="4" t="inlineStr">
        <is>
          <t>Variable</t>
        </is>
      </c>
      <c r="F160" s="4" t="inlineStr">
        <is>
          <t>Smoking initiation and cessation variable</t>
        </is>
      </c>
      <c r="G160" s="4" t="inlineStr">
        <is>
          <t>68 - 72</t>
        </is>
      </c>
      <c r="H160" s="4" t="inlineStr">
        <is>
          <t>ALL.T</t>
        </is>
      </c>
      <c r="I160" s="6" t="n">
        <v>784982.0553069999</v>
      </c>
      <c r="J160" s="7" t="n">
        <v>0.01</v>
      </c>
      <c r="K160" s="7" t="n">
        <v>0.009999999776482582</v>
      </c>
      <c r="L160" s="4" t="inlineStr">
        <is>
          <t>N/A</t>
        </is>
      </c>
      <c r="M160" s="4" t="inlineStr">
        <is>
          <t>N/A</t>
        </is>
      </c>
      <c r="N160" s="4" t="inlineStr">
        <is>
          <t>N/A</t>
        </is>
      </c>
      <c r="O160" s="4" t="inlineStr">
        <is>
          <t>N/A</t>
        </is>
      </c>
      <c r="P160" s="4" t="inlineStr">
        <is>
          <t>N/A</t>
        </is>
      </c>
      <c r="Q160" s="4" t="inlineStr">
        <is>
          <t>N/A</t>
        </is>
      </c>
      <c r="R160" s="8" t="n">
        <v>46254.68778046296</v>
      </c>
      <c r="S160" s="4" t="inlineStr">
        <is>
          <t>3.0.0</t>
        </is>
      </c>
      <c r="T160" s="4" t="inlineStr">
        <is>
          <t>1.8</t>
        </is>
      </c>
    </row>
    <row r="161">
      <c r="A161" s="4" t="inlineStr">
        <is>
          <t>Grizzly XL YO</t>
        </is>
      </c>
      <c r="B161" s="4" t="inlineStr">
        <is>
          <t>Master Model G25 Grizzly XL_TwoAge_5a_6a_14b_15a_B09</t>
        </is>
      </c>
      <c r="C161" s="4" t="inlineStr">
        <is>
          <t>JAGS_Female_2000</t>
        </is>
      </c>
      <c r="D161" s="5" t="n">
        <v>0.1</v>
      </c>
      <c r="E161" s="4" t="inlineStr">
        <is>
          <t>Variable</t>
        </is>
      </c>
      <c r="F161" s="4" t="inlineStr">
        <is>
          <t>Smoking initiation and cessation variable</t>
        </is>
      </c>
      <c r="G161" s="4" t="inlineStr">
        <is>
          <t>68 - 72</t>
        </is>
      </c>
      <c r="H161" s="4" t="inlineStr">
        <is>
          <t>DIFF_ALL</t>
        </is>
      </c>
      <c r="I161" s="6" t="n">
        <v>18.846747</v>
      </c>
      <c r="J161" s="7" t="n">
        <v>0.01</v>
      </c>
      <c r="K161" s="7" t="n">
        <v>0.009999999776482582</v>
      </c>
      <c r="L161" s="4" t="inlineStr">
        <is>
          <t>N/A</t>
        </is>
      </c>
      <c r="M161" s="4" t="inlineStr">
        <is>
          <t>N/A</t>
        </is>
      </c>
      <c r="N161" s="4" t="inlineStr">
        <is>
          <t>N/A</t>
        </is>
      </c>
      <c r="O161" s="4" t="inlineStr">
        <is>
          <t>N/A</t>
        </is>
      </c>
      <c r="P161" s="4" t="inlineStr">
        <is>
          <t>N/A</t>
        </is>
      </c>
      <c r="Q161" s="4" t="inlineStr">
        <is>
          <t>N/A</t>
        </is>
      </c>
      <c r="R161" s="8" t="n">
        <v>46254.68778046296</v>
      </c>
      <c r="S161" s="4" t="inlineStr">
        <is>
          <t>3.0.0</t>
        </is>
      </c>
      <c r="T161" s="4" t="inlineStr">
        <is>
          <t>1.8</t>
        </is>
      </c>
    </row>
    <row r="162">
      <c r="A162" s="4" t="inlineStr">
        <is>
          <t>Grizzly XL YO</t>
        </is>
      </c>
      <c r="B162" s="4" t="inlineStr">
        <is>
          <t>Master Model G25 Grizzly XL_TwoAge_5a_6a_14b_15a_B09</t>
        </is>
      </c>
      <c r="C162" s="4" t="inlineStr">
        <is>
          <t>JAGS_Female_2000</t>
        </is>
      </c>
      <c r="D162" s="5" t="n">
        <v>0.1</v>
      </c>
      <c r="E162" s="4" t="inlineStr">
        <is>
          <t>Variable</t>
        </is>
      </c>
      <c r="F162" s="4" t="inlineStr">
        <is>
          <t>Smoking initiation and cessation variable</t>
        </is>
      </c>
      <c r="G162" s="4" t="inlineStr">
        <is>
          <t>68 - 72</t>
        </is>
      </c>
      <c r="H162" s="4" t="inlineStr">
        <is>
          <t>ALL.T</t>
        </is>
      </c>
      <c r="I162" s="6" t="n">
        <v>784980.156171</v>
      </c>
      <c r="J162" s="7" t="n">
        <v>0.01</v>
      </c>
      <c r="K162" s="7" t="n">
        <v>0.009999999776482582</v>
      </c>
      <c r="L162" s="4" t="inlineStr">
        <is>
          <t>N/A</t>
        </is>
      </c>
      <c r="M162" s="4" t="inlineStr">
        <is>
          <t>N/A</t>
        </is>
      </c>
      <c r="N162" s="4" t="inlineStr">
        <is>
          <t>N/A</t>
        </is>
      </c>
      <c r="O162" s="4" t="inlineStr">
        <is>
          <t>N/A</t>
        </is>
      </c>
      <c r="P162" s="4" t="inlineStr">
        <is>
          <t>N/A</t>
        </is>
      </c>
      <c r="Q162" s="4" t="inlineStr">
        <is>
          <t>N/A</t>
        </is>
      </c>
      <c r="R162" s="8" t="n">
        <v>46254.68778046296</v>
      </c>
      <c r="S162" s="4" t="inlineStr">
        <is>
          <t>3.0.0</t>
        </is>
      </c>
      <c r="T162" s="4" t="inlineStr">
        <is>
          <t>1.8</t>
        </is>
      </c>
    </row>
    <row r="163">
      <c r="A163" s="4" t="inlineStr">
        <is>
          <t>Grizzly XL YO</t>
        </is>
      </c>
      <c r="B163" s="4" t="inlineStr">
        <is>
          <t>Master Model G25 Grizzly XL_TwoAge_5a_6a_14b_15a_B10</t>
        </is>
      </c>
      <c r="C163" s="4" t="inlineStr">
        <is>
          <t>JAGS_Male_2000</t>
        </is>
      </c>
      <c r="D163" s="5" t="n">
        <v>0.05</v>
      </c>
      <c r="E163" s="4" t="inlineStr">
        <is>
          <t>Variable</t>
        </is>
      </c>
      <c r="F163" s="4" t="inlineStr">
        <is>
          <t>Smoking initiation and cessation variable</t>
        </is>
      </c>
      <c r="G163" s="4" t="inlineStr">
        <is>
          <t>68 - 72</t>
        </is>
      </c>
      <c r="H163" s="4" t="inlineStr">
        <is>
          <t>DIFF_ALL</t>
        </is>
      </c>
      <c r="I163" s="6" t="n">
        <v>8.575639000000001</v>
      </c>
      <c r="J163" s="7" t="n">
        <v>0.01</v>
      </c>
      <c r="K163" s="7" t="n">
        <v>0.009999999776482582</v>
      </c>
      <c r="L163" s="4" t="inlineStr">
        <is>
          <t>N/A</t>
        </is>
      </c>
      <c r="M163" s="4" t="inlineStr">
        <is>
          <t>N/A</t>
        </is>
      </c>
      <c r="N163" s="4" t="inlineStr">
        <is>
          <t>N/A</t>
        </is>
      </c>
      <c r="O163" s="4" t="inlineStr">
        <is>
          <t>N/A</t>
        </is>
      </c>
      <c r="P163" s="4" t="inlineStr">
        <is>
          <t>N/A</t>
        </is>
      </c>
      <c r="Q163" s="4" t="inlineStr">
        <is>
          <t>N/A</t>
        </is>
      </c>
      <c r="R163" s="8" t="n">
        <v>46254.68778046296</v>
      </c>
      <c r="S163" s="4" t="inlineStr">
        <is>
          <t>3.0.0</t>
        </is>
      </c>
      <c r="T163" s="4" t="inlineStr">
        <is>
          <t>1.8</t>
        </is>
      </c>
    </row>
    <row r="164">
      <c r="A164" s="4" t="inlineStr">
        <is>
          <t>Grizzly XL YO</t>
        </is>
      </c>
      <c r="B164" s="4" t="inlineStr">
        <is>
          <t>Master Model G25 Grizzly XL_TwoAge_5a_6a_14b_15a_B10</t>
        </is>
      </c>
      <c r="C164" s="4" t="inlineStr">
        <is>
          <t>JAGS_Male_2000</t>
        </is>
      </c>
      <c r="D164" s="5" t="n">
        <v>0.05</v>
      </c>
      <c r="E164" s="4" t="inlineStr">
        <is>
          <t>Variable</t>
        </is>
      </c>
      <c r="F164" s="4" t="inlineStr">
        <is>
          <t>Smoking initiation and cessation variable</t>
        </is>
      </c>
      <c r="G164" s="4" t="inlineStr">
        <is>
          <t>68 - 72</t>
        </is>
      </c>
      <c r="H164" s="4" t="inlineStr">
        <is>
          <t>ALL.T</t>
        </is>
      </c>
      <c r="I164" s="6" t="n">
        <v>678774.104285</v>
      </c>
      <c r="J164" s="7" t="n">
        <v>0.01</v>
      </c>
      <c r="K164" s="7" t="n">
        <v>0.009999999776482582</v>
      </c>
      <c r="L164" s="4" t="inlineStr">
        <is>
          <t>N/A</t>
        </is>
      </c>
      <c r="M164" s="4" t="inlineStr">
        <is>
          <t>N/A</t>
        </is>
      </c>
      <c r="N164" s="4" t="inlineStr">
        <is>
          <t>N/A</t>
        </is>
      </c>
      <c r="O164" s="4" t="inlineStr">
        <is>
          <t>N/A</t>
        </is>
      </c>
      <c r="P164" s="4" t="inlineStr">
        <is>
          <t>N/A</t>
        </is>
      </c>
      <c r="Q164" s="4" t="inlineStr">
        <is>
          <t>N/A</t>
        </is>
      </c>
      <c r="R164" s="8" t="n">
        <v>46254.68778046296</v>
      </c>
      <c r="S164" s="4" t="inlineStr">
        <is>
          <t>3.0.0</t>
        </is>
      </c>
      <c r="T164" s="4" t="inlineStr">
        <is>
          <t>1.8</t>
        </is>
      </c>
    </row>
    <row r="165">
      <c r="A165" s="4" t="inlineStr">
        <is>
          <t>Grizzly XL YO</t>
        </is>
      </c>
      <c r="B165" s="4" t="inlineStr">
        <is>
          <t>Master Model G25 Grizzly XL_TwoAge_5a_6a_14b_15a_B10</t>
        </is>
      </c>
      <c r="C165" s="4" t="inlineStr">
        <is>
          <t>JAGS_Male_2000</t>
        </is>
      </c>
      <c r="D165" s="5" t="n">
        <v>0.1</v>
      </c>
      <c r="E165" s="4" t="inlineStr">
        <is>
          <t>Variable</t>
        </is>
      </c>
      <c r="F165" s="4" t="inlineStr">
        <is>
          <t>Smoking initiation and cessation variable</t>
        </is>
      </c>
      <c r="G165" s="4" t="inlineStr">
        <is>
          <t>68 - 72</t>
        </is>
      </c>
      <c r="H165" s="4" t="inlineStr">
        <is>
          <t>DIFF_ALL</t>
        </is>
      </c>
      <c r="I165" s="6" t="n">
        <v>7.767961</v>
      </c>
      <c r="J165" s="7" t="n">
        <v>0.01</v>
      </c>
      <c r="K165" s="7" t="n">
        <v>0.009999999776482582</v>
      </c>
      <c r="L165" s="4" t="inlineStr">
        <is>
          <t>N/A</t>
        </is>
      </c>
      <c r="M165" s="4" t="inlineStr">
        <is>
          <t>N/A</t>
        </is>
      </c>
      <c r="N165" s="4" t="inlineStr">
        <is>
          <t>N/A</t>
        </is>
      </c>
      <c r="O165" s="4" t="inlineStr">
        <is>
          <t>N/A</t>
        </is>
      </c>
      <c r="P165" s="4" t="inlineStr">
        <is>
          <t>N/A</t>
        </is>
      </c>
      <c r="Q165" s="4" t="inlineStr">
        <is>
          <t>N/A</t>
        </is>
      </c>
      <c r="R165" s="8" t="n">
        <v>46254.68778046296</v>
      </c>
      <c r="S165" s="4" t="inlineStr">
        <is>
          <t>3.0.0</t>
        </is>
      </c>
      <c r="T165" s="4" t="inlineStr">
        <is>
          <t>1.8</t>
        </is>
      </c>
    </row>
    <row r="166">
      <c r="A166" s="4" t="inlineStr">
        <is>
          <t>Grizzly XL YO</t>
        </is>
      </c>
      <c r="B166" s="4" t="inlineStr">
        <is>
          <t>Master Model G25 Grizzly XL_TwoAge_5a_6a_14b_15a_B10</t>
        </is>
      </c>
      <c r="C166" s="4" t="inlineStr">
        <is>
          <t>JAGS_Male_2000</t>
        </is>
      </c>
      <c r="D166" s="5" t="n">
        <v>0.1</v>
      </c>
      <c r="E166" s="4" t="inlineStr">
        <is>
          <t>Variable</t>
        </is>
      </c>
      <c r="F166" s="4" t="inlineStr">
        <is>
          <t>Smoking initiation and cessation variable</t>
        </is>
      </c>
      <c r="G166" s="4" t="inlineStr">
        <is>
          <t>68 - 72</t>
        </is>
      </c>
      <c r="H166" s="4" t="inlineStr">
        <is>
          <t>ALL.T</t>
        </is>
      </c>
      <c r="I166" s="6" t="n">
        <v>678773.2966070001</v>
      </c>
      <c r="J166" s="7" t="n">
        <v>0.01</v>
      </c>
      <c r="K166" s="7" t="n">
        <v>0.009999999776482582</v>
      </c>
      <c r="L166" s="4" t="inlineStr">
        <is>
          <t>N/A</t>
        </is>
      </c>
      <c r="M166" s="4" t="inlineStr">
        <is>
          <t>N/A</t>
        </is>
      </c>
      <c r="N166" s="4" t="inlineStr">
        <is>
          <t>N/A</t>
        </is>
      </c>
      <c r="O166" s="4" t="inlineStr">
        <is>
          <t>N/A</t>
        </is>
      </c>
      <c r="P166" s="4" t="inlineStr">
        <is>
          <t>N/A</t>
        </is>
      </c>
      <c r="Q166" s="4" t="inlineStr">
        <is>
          <t>N/A</t>
        </is>
      </c>
      <c r="R166" s="8" t="n">
        <v>46254.68778046296</v>
      </c>
      <c r="S166" s="4" t="inlineStr">
        <is>
          <t>3.0.0</t>
        </is>
      </c>
      <c r="T166" s="4" t="inlineStr">
        <is>
          <t>1.8</t>
        </is>
      </c>
    </row>
    <row r="167">
      <c r="A167" s="4" t="inlineStr">
        <is>
          <t>Grizzly XL YO</t>
        </is>
      </c>
      <c r="B167" s="4" t="inlineStr">
        <is>
          <t>Master Model G25 Grizzly XL_TwoAge_5a_6a_14b_15a_B10</t>
        </is>
      </c>
      <c r="C167" s="4" t="inlineStr">
        <is>
          <t>JAGS_Female_2000</t>
        </is>
      </c>
      <c r="D167" s="5" t="n">
        <v>0.05</v>
      </c>
      <c r="E167" s="4" t="inlineStr">
        <is>
          <t>Variable</t>
        </is>
      </c>
      <c r="F167" s="4" t="inlineStr">
        <is>
          <t>Smoking initiation and cessation variable</t>
        </is>
      </c>
      <c r="G167" s="4" t="inlineStr">
        <is>
          <t>68 - 72</t>
        </is>
      </c>
      <c r="H167" s="4" t="inlineStr">
        <is>
          <t>DIFF_ALL</t>
        </is>
      </c>
      <c r="I167" s="6" t="n">
        <v>8.223333</v>
      </c>
      <c r="J167" s="7" t="n">
        <v>0.01</v>
      </c>
      <c r="K167" s="7" t="n">
        <v>0.009999999776482582</v>
      </c>
      <c r="L167" s="4" t="inlineStr">
        <is>
          <t>N/A</t>
        </is>
      </c>
      <c r="M167" s="4" t="inlineStr">
        <is>
          <t>N/A</t>
        </is>
      </c>
      <c r="N167" s="4" t="inlineStr">
        <is>
          <t>N/A</t>
        </is>
      </c>
      <c r="O167" s="4" t="inlineStr">
        <is>
          <t>N/A</t>
        </is>
      </c>
      <c r="P167" s="4" t="inlineStr">
        <is>
          <t>N/A</t>
        </is>
      </c>
      <c r="Q167" s="4" t="inlineStr">
        <is>
          <t>N/A</t>
        </is>
      </c>
      <c r="R167" s="8" t="n">
        <v>46254.68778046296</v>
      </c>
      <c r="S167" s="4" t="inlineStr">
        <is>
          <t>3.0.0</t>
        </is>
      </c>
      <c r="T167" s="4" t="inlineStr">
        <is>
          <t>1.8</t>
        </is>
      </c>
    </row>
    <row r="168">
      <c r="A168" s="4" t="inlineStr">
        <is>
          <t>Grizzly XL YO</t>
        </is>
      </c>
      <c r="B168" s="4" t="inlineStr">
        <is>
          <t>Master Model G25 Grizzly XL_TwoAge_5a_6a_14b_15a_B10</t>
        </is>
      </c>
      <c r="C168" s="4" t="inlineStr">
        <is>
          <t>JAGS_Female_2000</t>
        </is>
      </c>
      <c r="D168" s="5" t="n">
        <v>0.05</v>
      </c>
      <c r="E168" s="4" t="inlineStr">
        <is>
          <t>Variable</t>
        </is>
      </c>
      <c r="F168" s="4" t="inlineStr">
        <is>
          <t>Smoking initiation and cessation variable</t>
        </is>
      </c>
      <c r="G168" s="4" t="inlineStr">
        <is>
          <t>68 - 72</t>
        </is>
      </c>
      <c r="H168" s="4" t="inlineStr">
        <is>
          <t>ALL.T</t>
        </is>
      </c>
      <c r="I168" s="6" t="n">
        <v>784969.5327559999</v>
      </c>
      <c r="J168" s="7" t="n">
        <v>0.01</v>
      </c>
      <c r="K168" s="7" t="n">
        <v>0.009999999776482582</v>
      </c>
      <c r="L168" s="4" t="inlineStr">
        <is>
          <t>N/A</t>
        </is>
      </c>
      <c r="M168" s="4" t="inlineStr">
        <is>
          <t>N/A</t>
        </is>
      </c>
      <c r="N168" s="4" t="inlineStr">
        <is>
          <t>N/A</t>
        </is>
      </c>
      <c r="O168" s="4" t="inlineStr">
        <is>
          <t>N/A</t>
        </is>
      </c>
      <c r="P168" s="4" t="inlineStr">
        <is>
          <t>N/A</t>
        </is>
      </c>
      <c r="Q168" s="4" t="inlineStr">
        <is>
          <t>N/A</t>
        </is>
      </c>
      <c r="R168" s="8" t="n">
        <v>46254.68778046296</v>
      </c>
      <c r="S168" s="4" t="inlineStr">
        <is>
          <t>3.0.0</t>
        </is>
      </c>
      <c r="T168" s="4" t="inlineStr">
        <is>
          <t>1.8</t>
        </is>
      </c>
    </row>
    <row r="169">
      <c r="A169" s="4" t="inlineStr">
        <is>
          <t>Grizzly XL YO</t>
        </is>
      </c>
      <c r="B169" s="4" t="inlineStr">
        <is>
          <t>Master Model G25 Grizzly XL_TwoAge_5a_6a_14b_15a_B10</t>
        </is>
      </c>
      <c r="C169" s="4" t="inlineStr">
        <is>
          <t>JAGS_Female_2000</t>
        </is>
      </c>
      <c r="D169" s="5" t="n">
        <v>0.1</v>
      </c>
      <c r="E169" s="4" t="inlineStr">
        <is>
          <t>Variable</t>
        </is>
      </c>
      <c r="F169" s="4" t="inlineStr">
        <is>
          <t>Smoking initiation and cessation variable</t>
        </is>
      </c>
      <c r="G169" s="4" t="inlineStr">
        <is>
          <t>68 - 72</t>
        </is>
      </c>
      <c r="H169" s="4" t="inlineStr">
        <is>
          <t>DIFF_ALL</t>
        </is>
      </c>
      <c r="I169" s="6" t="n">
        <v>7.451664</v>
      </c>
      <c r="J169" s="7" t="n">
        <v>0.01</v>
      </c>
      <c r="K169" s="7" t="n">
        <v>0.009999999776482582</v>
      </c>
      <c r="L169" s="4" t="inlineStr">
        <is>
          <t>N/A</t>
        </is>
      </c>
      <c r="M169" s="4" t="inlineStr">
        <is>
          <t>N/A</t>
        </is>
      </c>
      <c r="N169" s="4" t="inlineStr">
        <is>
          <t>N/A</t>
        </is>
      </c>
      <c r="O169" s="4" t="inlineStr">
        <is>
          <t>N/A</t>
        </is>
      </c>
      <c r="P169" s="4" t="inlineStr">
        <is>
          <t>N/A</t>
        </is>
      </c>
      <c r="Q169" s="4" t="inlineStr">
        <is>
          <t>N/A</t>
        </is>
      </c>
      <c r="R169" s="8" t="n">
        <v>46254.68778047454</v>
      </c>
      <c r="S169" s="4" t="inlineStr">
        <is>
          <t>3.0.0</t>
        </is>
      </c>
      <c r="T169" s="4" t="inlineStr">
        <is>
          <t>1.8</t>
        </is>
      </c>
    </row>
    <row r="170">
      <c r="A170" s="4" t="inlineStr">
        <is>
          <t>Grizzly XL YO</t>
        </is>
      </c>
      <c r="B170" s="4" t="inlineStr">
        <is>
          <t>Master Model G25 Grizzly XL_TwoAge_5a_6a_14b_15a_B10</t>
        </is>
      </c>
      <c r="C170" s="4" t="inlineStr">
        <is>
          <t>JAGS_Female_2000</t>
        </is>
      </c>
      <c r="D170" s="5" t="n">
        <v>0.1</v>
      </c>
      <c r="E170" s="4" t="inlineStr">
        <is>
          <t>Variable</t>
        </is>
      </c>
      <c r="F170" s="4" t="inlineStr">
        <is>
          <t>Smoking initiation and cessation variable</t>
        </is>
      </c>
      <c r="G170" s="4" t="inlineStr">
        <is>
          <t>68 - 72</t>
        </is>
      </c>
      <c r="H170" s="4" t="inlineStr">
        <is>
          <t>ALL.T</t>
        </is>
      </c>
      <c r="I170" s="6" t="n">
        <v>784968.761087</v>
      </c>
      <c r="J170" s="7" t="n">
        <v>0.01</v>
      </c>
      <c r="K170" s="7" t="n">
        <v>0.009999999776482582</v>
      </c>
      <c r="L170" s="4" t="inlineStr">
        <is>
          <t>N/A</t>
        </is>
      </c>
      <c r="M170" s="4" t="inlineStr">
        <is>
          <t>N/A</t>
        </is>
      </c>
      <c r="N170" s="4" t="inlineStr">
        <is>
          <t>N/A</t>
        </is>
      </c>
      <c r="O170" s="4" t="inlineStr">
        <is>
          <t>N/A</t>
        </is>
      </c>
      <c r="P170" s="4" t="inlineStr">
        <is>
          <t>N/A</t>
        </is>
      </c>
      <c r="Q170" s="4" t="inlineStr">
        <is>
          <t>N/A</t>
        </is>
      </c>
      <c r="R170" s="8" t="n">
        <v>46254.68778047454</v>
      </c>
      <c r="S170" s="4" t="inlineStr">
        <is>
          <t>3.0.0</t>
        </is>
      </c>
      <c r="T170" s="4" t="inlineStr">
        <is>
          <t>1.8</t>
        </is>
      </c>
    </row>
    <row r="171">
      <c r="A171" s="4" t="inlineStr">
        <is>
          <t>Grizzly XL YO</t>
        </is>
      </c>
      <c r="B171" s="4" t="inlineStr">
        <is>
          <t>Master Model G25 Grizzly XL_TwoAge_5a_6a_14b_15a_B11</t>
        </is>
      </c>
      <c r="C171" s="4" t="inlineStr">
        <is>
          <t>JAGS_Male_2000</t>
        </is>
      </c>
      <c r="D171" s="5" t="n">
        <v>0.05</v>
      </c>
      <c r="E171" s="4" t="inlineStr">
        <is>
          <t>Variable</t>
        </is>
      </c>
      <c r="F171" s="4" t="inlineStr">
        <is>
          <t>Smoking initiation and cessation variable</t>
        </is>
      </c>
      <c r="G171" s="4" t="inlineStr">
        <is>
          <t>68 - 72</t>
        </is>
      </c>
      <c r="H171" s="4" t="inlineStr">
        <is>
          <t>DIFF_ALL</t>
        </is>
      </c>
      <c r="I171" s="6" t="n">
        <v>2.174864</v>
      </c>
      <c r="J171" s="7" t="n">
        <v>0.01</v>
      </c>
      <c r="K171" s="7" t="n">
        <v>0.009999999776482582</v>
      </c>
      <c r="L171" s="4" t="inlineStr">
        <is>
          <t>N/A</t>
        </is>
      </c>
      <c r="M171" s="4" t="inlineStr">
        <is>
          <t>N/A</t>
        </is>
      </c>
      <c r="N171" s="4" t="inlineStr">
        <is>
          <t>N/A</t>
        </is>
      </c>
      <c r="O171" s="4" t="inlineStr">
        <is>
          <t>N/A</t>
        </is>
      </c>
      <c r="P171" s="4" t="inlineStr">
        <is>
          <t>N/A</t>
        </is>
      </c>
      <c r="Q171" s="4" t="inlineStr">
        <is>
          <t>N/A</t>
        </is>
      </c>
      <c r="R171" s="8" t="n">
        <v>46254.68778047454</v>
      </c>
      <c r="S171" s="4" t="inlineStr">
        <is>
          <t>3.0.0</t>
        </is>
      </c>
      <c r="T171" s="4" t="inlineStr">
        <is>
          <t>1.8</t>
        </is>
      </c>
    </row>
    <row r="172">
      <c r="A172" s="4" t="inlineStr">
        <is>
          <t>Grizzly XL YO</t>
        </is>
      </c>
      <c r="B172" s="4" t="inlineStr">
        <is>
          <t>Master Model G25 Grizzly XL_TwoAge_5a_6a_14b_15a_B11</t>
        </is>
      </c>
      <c r="C172" s="4" t="inlineStr">
        <is>
          <t>JAGS_Male_2000</t>
        </is>
      </c>
      <c r="D172" s="5" t="n">
        <v>0.05</v>
      </c>
      <c r="E172" s="4" t="inlineStr">
        <is>
          <t>Variable</t>
        </is>
      </c>
      <c r="F172" s="4" t="inlineStr">
        <is>
          <t>Smoking initiation and cessation variable</t>
        </is>
      </c>
      <c r="G172" s="4" t="inlineStr">
        <is>
          <t>68 - 72</t>
        </is>
      </c>
      <c r="H172" s="4" t="inlineStr">
        <is>
          <t>ALL.T</t>
        </is>
      </c>
      <c r="I172" s="6" t="n">
        <v>678767.703511</v>
      </c>
      <c r="J172" s="7" t="n">
        <v>0.01</v>
      </c>
      <c r="K172" s="7" t="n">
        <v>0.009999999776482582</v>
      </c>
      <c r="L172" s="4" t="inlineStr">
        <is>
          <t>N/A</t>
        </is>
      </c>
      <c r="M172" s="4" t="inlineStr">
        <is>
          <t>N/A</t>
        </is>
      </c>
      <c r="N172" s="4" t="inlineStr">
        <is>
          <t>N/A</t>
        </is>
      </c>
      <c r="O172" s="4" t="inlineStr">
        <is>
          <t>N/A</t>
        </is>
      </c>
      <c r="P172" s="4" t="inlineStr">
        <is>
          <t>N/A</t>
        </is>
      </c>
      <c r="Q172" s="4" t="inlineStr">
        <is>
          <t>N/A</t>
        </is>
      </c>
      <c r="R172" s="8" t="n">
        <v>46254.68778047454</v>
      </c>
      <c r="S172" s="4" t="inlineStr">
        <is>
          <t>3.0.0</t>
        </is>
      </c>
      <c r="T172" s="4" t="inlineStr">
        <is>
          <t>1.8</t>
        </is>
      </c>
    </row>
    <row r="173">
      <c r="A173" s="4" t="inlineStr">
        <is>
          <t>Grizzly XL YO</t>
        </is>
      </c>
      <c r="B173" s="4" t="inlineStr">
        <is>
          <t>Master Model G25 Grizzly XL_TwoAge_5a_6a_14b_15a_B11</t>
        </is>
      </c>
      <c r="C173" s="4" t="inlineStr">
        <is>
          <t>JAGS_Male_2000</t>
        </is>
      </c>
      <c r="D173" s="5" t="n">
        <v>0.1</v>
      </c>
      <c r="E173" s="4" t="inlineStr">
        <is>
          <t>Variable</t>
        </is>
      </c>
      <c r="F173" s="4" t="inlineStr">
        <is>
          <t>Smoking initiation and cessation variable</t>
        </is>
      </c>
      <c r="G173" s="4" t="inlineStr">
        <is>
          <t>68 - 72</t>
        </is>
      </c>
      <c r="H173" s="4" t="inlineStr">
        <is>
          <t>DIFF_ALL</t>
        </is>
      </c>
      <c r="I173" s="6" t="n">
        <v>1.976893</v>
      </c>
      <c r="J173" s="7" t="n">
        <v>0.01</v>
      </c>
      <c r="K173" s="7" t="n">
        <v>0.009999999776482582</v>
      </c>
      <c r="L173" s="4" t="inlineStr">
        <is>
          <t>N/A</t>
        </is>
      </c>
      <c r="M173" s="4" t="inlineStr">
        <is>
          <t>N/A</t>
        </is>
      </c>
      <c r="N173" s="4" t="inlineStr">
        <is>
          <t>N/A</t>
        </is>
      </c>
      <c r="O173" s="4" t="inlineStr">
        <is>
          <t>N/A</t>
        </is>
      </c>
      <c r="P173" s="4" t="inlineStr">
        <is>
          <t>N/A</t>
        </is>
      </c>
      <c r="Q173" s="4" t="inlineStr">
        <is>
          <t>N/A</t>
        </is>
      </c>
      <c r="R173" s="8" t="n">
        <v>46254.68778047454</v>
      </c>
      <c r="S173" s="4" t="inlineStr">
        <is>
          <t>3.0.0</t>
        </is>
      </c>
      <c r="T173" s="4" t="inlineStr">
        <is>
          <t>1.8</t>
        </is>
      </c>
    </row>
    <row r="174">
      <c r="A174" s="4" t="inlineStr">
        <is>
          <t>Grizzly XL YO</t>
        </is>
      </c>
      <c r="B174" s="4" t="inlineStr">
        <is>
          <t>Master Model G25 Grizzly XL_TwoAge_5a_6a_14b_15a_B11</t>
        </is>
      </c>
      <c r="C174" s="4" t="inlineStr">
        <is>
          <t>JAGS_Male_2000</t>
        </is>
      </c>
      <c r="D174" s="5" t="n">
        <v>0.1</v>
      </c>
      <c r="E174" s="4" t="inlineStr">
        <is>
          <t>Variable</t>
        </is>
      </c>
      <c r="F174" s="4" t="inlineStr">
        <is>
          <t>Smoking initiation and cessation variable</t>
        </is>
      </c>
      <c r="G174" s="4" t="inlineStr">
        <is>
          <t>68 - 72</t>
        </is>
      </c>
      <c r="H174" s="4" t="inlineStr">
        <is>
          <t>ALL.T</t>
        </is>
      </c>
      <c r="I174" s="6" t="n">
        <v>678767.50554</v>
      </c>
      <c r="J174" s="7" t="n">
        <v>0.01</v>
      </c>
      <c r="K174" s="7" t="n">
        <v>0.009999999776482582</v>
      </c>
      <c r="L174" s="4" t="inlineStr">
        <is>
          <t>N/A</t>
        </is>
      </c>
      <c r="M174" s="4" t="inlineStr">
        <is>
          <t>N/A</t>
        </is>
      </c>
      <c r="N174" s="4" t="inlineStr">
        <is>
          <t>N/A</t>
        </is>
      </c>
      <c r="O174" s="4" t="inlineStr">
        <is>
          <t>N/A</t>
        </is>
      </c>
      <c r="P174" s="4" t="inlineStr">
        <is>
          <t>N/A</t>
        </is>
      </c>
      <c r="Q174" s="4" t="inlineStr">
        <is>
          <t>N/A</t>
        </is>
      </c>
      <c r="R174" s="8" t="n">
        <v>46254.68778047454</v>
      </c>
      <c r="S174" s="4" t="inlineStr">
        <is>
          <t>3.0.0</t>
        </is>
      </c>
      <c r="T174" s="4" t="inlineStr">
        <is>
          <t>1.8</t>
        </is>
      </c>
    </row>
    <row r="175">
      <c r="A175" s="4" t="inlineStr">
        <is>
          <t>Grizzly XL YO</t>
        </is>
      </c>
      <c r="B175" s="4" t="inlineStr">
        <is>
          <t>Master Model G25 Grizzly XL_TwoAge_5a_6a_14b_15a_B11</t>
        </is>
      </c>
      <c r="C175" s="4" t="inlineStr">
        <is>
          <t>JAGS_Female_2000</t>
        </is>
      </c>
      <c r="D175" s="5" t="n">
        <v>0.05</v>
      </c>
      <c r="E175" s="4" t="inlineStr">
        <is>
          <t>Variable</t>
        </is>
      </c>
      <c r="F175" s="4" t="inlineStr">
        <is>
          <t>Smoking initiation and cessation variable</t>
        </is>
      </c>
      <c r="G175" s="4" t="inlineStr">
        <is>
          <t>68 - 72</t>
        </is>
      </c>
      <c r="H175" s="4" t="inlineStr">
        <is>
          <t>DIFF_ALL</t>
        </is>
      </c>
      <c r="I175" s="6" t="n">
        <v>2.132836</v>
      </c>
      <c r="J175" s="7" t="n">
        <v>0.01</v>
      </c>
      <c r="K175" s="7" t="n">
        <v>0.009999999776482582</v>
      </c>
      <c r="L175" s="4" t="inlineStr">
        <is>
          <t>N/A</t>
        </is>
      </c>
      <c r="M175" s="4" t="inlineStr">
        <is>
          <t>N/A</t>
        </is>
      </c>
      <c r="N175" s="4" t="inlineStr">
        <is>
          <t>N/A</t>
        </is>
      </c>
      <c r="O175" s="4" t="inlineStr">
        <is>
          <t>N/A</t>
        </is>
      </c>
      <c r="P175" s="4" t="inlineStr">
        <is>
          <t>N/A</t>
        </is>
      </c>
      <c r="Q175" s="4" t="inlineStr">
        <is>
          <t>N/A</t>
        </is>
      </c>
      <c r="R175" s="8" t="n">
        <v>46254.68778047454</v>
      </c>
      <c r="S175" s="4" t="inlineStr">
        <is>
          <t>3.0.0</t>
        </is>
      </c>
      <c r="T175" s="4" t="inlineStr">
        <is>
          <t>1.8</t>
        </is>
      </c>
    </row>
    <row r="176">
      <c r="A176" s="4" t="inlineStr">
        <is>
          <t>Grizzly XL YO</t>
        </is>
      </c>
      <c r="B176" s="4" t="inlineStr">
        <is>
          <t>Master Model G25 Grizzly XL_TwoAge_5a_6a_14b_15a_B11</t>
        </is>
      </c>
      <c r="C176" s="4" t="inlineStr">
        <is>
          <t>JAGS_Female_2000</t>
        </is>
      </c>
      <c r="D176" s="5" t="n">
        <v>0.05</v>
      </c>
      <c r="E176" s="4" t="inlineStr">
        <is>
          <t>Variable</t>
        </is>
      </c>
      <c r="F176" s="4" t="inlineStr">
        <is>
          <t>Smoking initiation and cessation variable</t>
        </is>
      </c>
      <c r="G176" s="4" t="inlineStr">
        <is>
          <t>68 - 72</t>
        </is>
      </c>
      <c r="H176" s="4" t="inlineStr">
        <is>
          <t>ALL.T</t>
        </is>
      </c>
      <c r="I176" s="6" t="n">
        <v>784963.442259</v>
      </c>
      <c r="J176" s="7" t="n">
        <v>0.01</v>
      </c>
      <c r="K176" s="7" t="n">
        <v>0.009999999776482582</v>
      </c>
      <c r="L176" s="4" t="inlineStr">
        <is>
          <t>N/A</t>
        </is>
      </c>
      <c r="M176" s="4" t="inlineStr">
        <is>
          <t>N/A</t>
        </is>
      </c>
      <c r="N176" s="4" t="inlineStr">
        <is>
          <t>N/A</t>
        </is>
      </c>
      <c r="O176" s="4" t="inlineStr">
        <is>
          <t>N/A</t>
        </is>
      </c>
      <c r="P176" s="4" t="inlineStr">
        <is>
          <t>N/A</t>
        </is>
      </c>
      <c r="Q176" s="4" t="inlineStr">
        <is>
          <t>N/A</t>
        </is>
      </c>
      <c r="R176" s="8" t="n">
        <v>46254.68778047454</v>
      </c>
      <c r="S176" s="4" t="inlineStr">
        <is>
          <t>3.0.0</t>
        </is>
      </c>
      <c r="T176" s="4" t="inlineStr">
        <is>
          <t>1.8</t>
        </is>
      </c>
    </row>
    <row r="177">
      <c r="A177" s="4" t="inlineStr">
        <is>
          <t>Grizzly XL YO</t>
        </is>
      </c>
      <c r="B177" s="4" t="inlineStr">
        <is>
          <t>Master Model G25 Grizzly XL_TwoAge_5a_6a_14b_15a_B11</t>
        </is>
      </c>
      <c r="C177" s="4" t="inlineStr">
        <is>
          <t>JAGS_Female_2000</t>
        </is>
      </c>
      <c r="D177" s="5" t="n">
        <v>0.1</v>
      </c>
      <c r="E177" s="4" t="inlineStr">
        <is>
          <t>Variable</t>
        </is>
      </c>
      <c r="F177" s="4" t="inlineStr">
        <is>
          <t>Smoking initiation and cessation variable</t>
        </is>
      </c>
      <c r="G177" s="4" t="inlineStr">
        <is>
          <t>68 - 72</t>
        </is>
      </c>
      <c r="H177" s="4" t="inlineStr">
        <is>
          <t>DIFF_ALL</t>
        </is>
      </c>
      <c r="I177" s="6" t="n">
        <v>1.938737</v>
      </c>
      <c r="J177" s="7" t="n">
        <v>0.01</v>
      </c>
      <c r="K177" s="7" t="n">
        <v>0.009999999776482582</v>
      </c>
      <c r="L177" s="4" t="inlineStr">
        <is>
          <t>N/A</t>
        </is>
      </c>
      <c r="M177" s="4" t="inlineStr">
        <is>
          <t>N/A</t>
        </is>
      </c>
      <c r="N177" s="4" t="inlineStr">
        <is>
          <t>N/A</t>
        </is>
      </c>
      <c r="O177" s="4" t="inlineStr">
        <is>
          <t>N/A</t>
        </is>
      </c>
      <c r="P177" s="4" t="inlineStr">
        <is>
          <t>N/A</t>
        </is>
      </c>
      <c r="Q177" s="4" t="inlineStr">
        <is>
          <t>N/A</t>
        </is>
      </c>
      <c r="R177" s="8" t="n">
        <v>46254.68778047454</v>
      </c>
      <c r="S177" s="4" t="inlineStr">
        <is>
          <t>3.0.0</t>
        </is>
      </c>
      <c r="T177" s="4" t="inlineStr">
        <is>
          <t>1.8</t>
        </is>
      </c>
    </row>
    <row r="178">
      <c r="A178" s="4" t="inlineStr">
        <is>
          <t>Grizzly XL YO</t>
        </is>
      </c>
      <c r="B178" s="4" t="inlineStr">
        <is>
          <t>Master Model G25 Grizzly XL_TwoAge_5a_6a_14b_15a_B11</t>
        </is>
      </c>
      <c r="C178" s="4" t="inlineStr">
        <is>
          <t>JAGS_Female_2000</t>
        </is>
      </c>
      <c r="D178" s="5" t="n">
        <v>0.1</v>
      </c>
      <c r="E178" s="4" t="inlineStr">
        <is>
          <t>Variable</t>
        </is>
      </c>
      <c r="F178" s="4" t="inlineStr">
        <is>
          <t>Smoking initiation and cessation variable</t>
        </is>
      </c>
      <c r="G178" s="4" t="inlineStr">
        <is>
          <t>68 - 72</t>
        </is>
      </c>
      <c r="H178" s="4" t="inlineStr">
        <is>
          <t>ALL.T</t>
        </is>
      </c>
      <c r="I178" s="6" t="n">
        <v>784963.248161</v>
      </c>
      <c r="J178" s="7" t="n">
        <v>0.01</v>
      </c>
      <c r="K178" s="7" t="n">
        <v>0.009999999776482582</v>
      </c>
      <c r="L178" s="4" t="inlineStr">
        <is>
          <t>N/A</t>
        </is>
      </c>
      <c r="M178" s="4" t="inlineStr">
        <is>
          <t>N/A</t>
        </is>
      </c>
      <c r="N178" s="4" t="inlineStr">
        <is>
          <t>N/A</t>
        </is>
      </c>
      <c r="O178" s="4" t="inlineStr">
        <is>
          <t>N/A</t>
        </is>
      </c>
      <c r="P178" s="4" t="inlineStr">
        <is>
          <t>N/A</t>
        </is>
      </c>
      <c r="Q178" s="4" t="inlineStr">
        <is>
          <t>N/A</t>
        </is>
      </c>
      <c r="R178" s="8" t="n">
        <v>46254.68778047454</v>
      </c>
      <c r="S178" s="4" t="inlineStr">
        <is>
          <t>3.0.0</t>
        </is>
      </c>
      <c r="T178" s="4" t="inlineStr">
        <is>
          <t>1.8</t>
        </is>
      </c>
    </row>
    <row r="179">
      <c r="A179" s="4" t="inlineStr">
        <is>
          <t>Grizzly XL YO</t>
        </is>
      </c>
      <c r="B179" s="4" t="inlineStr">
        <is>
          <t>Master Model G10 Grizzly XL Relapse_TwoAge_B01</t>
        </is>
      </c>
      <c r="C179" s="4" t="inlineStr">
        <is>
          <t>JAGS_Male_2000</t>
        </is>
      </c>
      <c r="D179" s="5" t="n">
        <v>0.05</v>
      </c>
      <c r="E179" s="4" t="inlineStr">
        <is>
          <t>Variable</t>
        </is>
      </c>
      <c r="F179" s="4" t="inlineStr">
        <is>
          <t>Smoking initiation and cessation variable</t>
        </is>
      </c>
      <c r="G179" s="4" t="inlineStr">
        <is>
          <t>68 - 72</t>
        </is>
      </c>
      <c r="H179" s="4" t="inlineStr">
        <is>
          <t>DIFF_ALL</t>
        </is>
      </c>
      <c r="I179" s="6" t="n">
        <v>2719.171716</v>
      </c>
      <c r="J179" s="7" t="n">
        <v>0.01</v>
      </c>
      <c r="K179" s="7" t="n">
        <v>0.009999999776482582</v>
      </c>
      <c r="L179" s="4" t="inlineStr">
        <is>
          <t>N/A</t>
        </is>
      </c>
      <c r="M179" s="4" t="inlineStr">
        <is>
          <t>N/A</t>
        </is>
      </c>
      <c r="N179" s="4" t="inlineStr">
        <is>
          <t>N/A</t>
        </is>
      </c>
      <c r="O179" s="4" t="inlineStr">
        <is>
          <t>N/A</t>
        </is>
      </c>
      <c r="P179" s="4" t="inlineStr">
        <is>
          <t>N/A</t>
        </is>
      </c>
      <c r="Q179" s="4" t="inlineStr">
        <is>
          <t>N/A</t>
        </is>
      </c>
      <c r="R179" s="8" t="n">
        <v>46254.7725318287</v>
      </c>
      <c r="S179" s="4" t="inlineStr">
        <is>
          <t>3.0.0</t>
        </is>
      </c>
      <c r="T179" s="4" t="inlineStr">
        <is>
          <t>1.8</t>
        </is>
      </c>
    </row>
    <row r="180">
      <c r="A180" s="4" t="inlineStr">
        <is>
          <t>Grizzly XL YO</t>
        </is>
      </c>
      <c r="B180" s="4" t="inlineStr">
        <is>
          <t>Master Model G10 Grizzly XL Relapse_TwoAge_B01</t>
        </is>
      </c>
      <c r="C180" s="4" t="inlineStr">
        <is>
          <t>JAGS_Male_2000</t>
        </is>
      </c>
      <c r="D180" s="5" t="n">
        <v>0.05</v>
      </c>
      <c r="E180" s="4" t="inlineStr">
        <is>
          <t>Variable</t>
        </is>
      </c>
      <c r="F180" s="4" t="inlineStr">
        <is>
          <t>Smoking initiation and cessation variable</t>
        </is>
      </c>
      <c r="G180" s="4" t="inlineStr">
        <is>
          <t>68 - 72</t>
        </is>
      </c>
      <c r="H180" s="4" t="inlineStr">
        <is>
          <t>ALL.T</t>
        </is>
      </c>
      <c r="I180" s="6" t="n">
        <v>681237.473065</v>
      </c>
      <c r="J180" s="7" t="n">
        <v>0.01</v>
      </c>
      <c r="K180" s="7" t="n">
        <v>0.009999999776482582</v>
      </c>
      <c r="L180" s="4" t="inlineStr">
        <is>
          <t>N/A</t>
        </is>
      </c>
      <c r="M180" s="4" t="inlineStr">
        <is>
          <t>N/A</t>
        </is>
      </c>
      <c r="N180" s="4" t="inlineStr">
        <is>
          <t>N/A</t>
        </is>
      </c>
      <c r="O180" s="4" t="inlineStr">
        <is>
          <t>N/A</t>
        </is>
      </c>
      <c r="P180" s="4" t="inlineStr">
        <is>
          <t>N/A</t>
        </is>
      </c>
      <c r="Q180" s="4" t="inlineStr">
        <is>
          <t>N/A</t>
        </is>
      </c>
      <c r="R180" s="8" t="n">
        <v>46254.7725318287</v>
      </c>
      <c r="S180" s="4" t="inlineStr">
        <is>
          <t>3.0.0</t>
        </is>
      </c>
      <c r="T180" s="4" t="inlineStr">
        <is>
          <t>1.8</t>
        </is>
      </c>
    </row>
    <row r="181">
      <c r="A181" s="4" t="inlineStr">
        <is>
          <t>Grizzly XL YO</t>
        </is>
      </c>
      <c r="B181" s="4" t="inlineStr">
        <is>
          <t>Master Model G10 Grizzly XL Relapse_TwoAge_B01</t>
        </is>
      </c>
      <c r="C181" s="4" t="inlineStr">
        <is>
          <t>JAGS_Male_2000</t>
        </is>
      </c>
      <c r="D181" s="5" t="n">
        <v>0.1</v>
      </c>
      <c r="E181" s="4" t="inlineStr">
        <is>
          <t>Variable</t>
        </is>
      </c>
      <c r="F181" s="4" t="inlineStr">
        <is>
          <t>Smoking initiation and cessation variable</t>
        </is>
      </c>
      <c r="G181" s="4" t="inlineStr">
        <is>
          <t>68 - 72</t>
        </is>
      </c>
      <c r="H181" s="4" t="inlineStr">
        <is>
          <t>DIFF_ALL</t>
        </is>
      </c>
      <c r="I181" s="6" t="n">
        <v>2103.292396</v>
      </c>
      <c r="J181" s="7" t="n">
        <v>0.01</v>
      </c>
      <c r="K181" s="7" t="n">
        <v>0.009999999776482582</v>
      </c>
      <c r="L181" s="4" t="inlineStr">
        <is>
          <t>N/A</t>
        </is>
      </c>
      <c r="M181" s="4" t="inlineStr">
        <is>
          <t>N/A</t>
        </is>
      </c>
      <c r="N181" s="4" t="inlineStr">
        <is>
          <t>N/A</t>
        </is>
      </c>
      <c r="O181" s="4" t="inlineStr">
        <is>
          <t>N/A</t>
        </is>
      </c>
      <c r="P181" s="4" t="inlineStr">
        <is>
          <t>N/A</t>
        </is>
      </c>
      <c r="Q181" s="4" t="inlineStr">
        <is>
          <t>N/A</t>
        </is>
      </c>
      <c r="R181" s="8" t="n">
        <v>46254.77253231481</v>
      </c>
      <c r="S181" s="4" t="inlineStr">
        <is>
          <t>3.0.0</t>
        </is>
      </c>
      <c r="T181" s="4" t="inlineStr">
        <is>
          <t>1.8</t>
        </is>
      </c>
    </row>
    <row r="182">
      <c r="A182" s="4" t="inlineStr">
        <is>
          <t>Grizzly XL YO</t>
        </is>
      </c>
      <c r="B182" s="4" t="inlineStr">
        <is>
          <t>Master Model G10 Grizzly XL Relapse_TwoAge_B01</t>
        </is>
      </c>
      <c r="C182" s="4" t="inlineStr">
        <is>
          <t>JAGS_Male_2000</t>
        </is>
      </c>
      <c r="D182" s="5" t="n">
        <v>0.1</v>
      </c>
      <c r="E182" s="4" t="inlineStr">
        <is>
          <t>Variable</t>
        </is>
      </c>
      <c r="F182" s="4" t="inlineStr">
        <is>
          <t>Smoking initiation and cessation variable</t>
        </is>
      </c>
      <c r="G182" s="4" t="inlineStr">
        <is>
          <t>68 - 72</t>
        </is>
      </c>
      <c r="H182" s="4" t="inlineStr">
        <is>
          <t>ALL.T</t>
        </is>
      </c>
      <c r="I182" s="6" t="n">
        <v>680621.593745</v>
      </c>
      <c r="J182" s="7" t="n">
        <v>0.01</v>
      </c>
      <c r="K182" s="7" t="n">
        <v>0.009999999776482582</v>
      </c>
      <c r="L182" s="4" t="inlineStr">
        <is>
          <t>N/A</t>
        </is>
      </c>
      <c r="M182" s="4" t="inlineStr">
        <is>
          <t>N/A</t>
        </is>
      </c>
      <c r="N182" s="4" t="inlineStr">
        <is>
          <t>N/A</t>
        </is>
      </c>
      <c r="O182" s="4" t="inlineStr">
        <is>
          <t>N/A</t>
        </is>
      </c>
      <c r="P182" s="4" t="inlineStr">
        <is>
          <t>N/A</t>
        </is>
      </c>
      <c r="Q182" s="4" t="inlineStr">
        <is>
          <t>N/A</t>
        </is>
      </c>
      <c r="R182" s="8" t="n">
        <v>46254.77253231481</v>
      </c>
      <c r="S182" s="4" t="inlineStr">
        <is>
          <t>3.0.0</t>
        </is>
      </c>
      <c r="T182" s="4" t="inlineStr">
        <is>
          <t>1.8</t>
        </is>
      </c>
    </row>
    <row r="183">
      <c r="A183" s="4" t="inlineStr">
        <is>
          <t>Grizzly XL YO</t>
        </is>
      </c>
      <c r="B183" s="4" t="inlineStr">
        <is>
          <t>Master Model G10 Grizzly XL Relapse_TwoAge_B01</t>
        </is>
      </c>
      <c r="C183" s="4" t="inlineStr">
        <is>
          <t>JAGS_Female_2000</t>
        </is>
      </c>
      <c r="D183" s="5" t="n">
        <v>0.05</v>
      </c>
      <c r="E183" s="4" t="inlineStr">
        <is>
          <t>Variable</t>
        </is>
      </c>
      <c r="F183" s="4" t="inlineStr">
        <is>
          <t>Smoking initiation and cessation variable</t>
        </is>
      </c>
      <c r="G183" s="4" t="inlineStr">
        <is>
          <t>68 - 72</t>
        </is>
      </c>
      <c r="H183" s="4" t="inlineStr">
        <is>
          <t>DIFF_ALL</t>
        </is>
      </c>
      <c r="I183" s="6" t="n">
        <v>2325.567688</v>
      </c>
      <c r="J183" s="7" t="n">
        <v>0.01</v>
      </c>
      <c r="K183" s="7" t="n">
        <v>0.009999999776482582</v>
      </c>
      <c r="L183" s="4" t="inlineStr">
        <is>
          <t>N/A</t>
        </is>
      </c>
      <c r="M183" s="4" t="inlineStr">
        <is>
          <t>N/A</t>
        </is>
      </c>
      <c r="N183" s="4" t="inlineStr">
        <is>
          <t>N/A</t>
        </is>
      </c>
      <c r="O183" s="4" t="inlineStr">
        <is>
          <t>N/A</t>
        </is>
      </c>
      <c r="P183" s="4" t="inlineStr">
        <is>
          <t>N/A</t>
        </is>
      </c>
      <c r="Q183" s="4" t="inlineStr">
        <is>
          <t>N/A</t>
        </is>
      </c>
      <c r="R183" s="8" t="n">
        <v>46254.7725327662</v>
      </c>
      <c r="S183" s="4" t="inlineStr">
        <is>
          <t>3.0.0</t>
        </is>
      </c>
      <c r="T183" s="4" t="inlineStr">
        <is>
          <t>1.8</t>
        </is>
      </c>
    </row>
    <row r="184">
      <c r="A184" s="4" t="inlineStr">
        <is>
          <t>Grizzly XL YO</t>
        </is>
      </c>
      <c r="B184" s="4" t="inlineStr">
        <is>
          <t>Master Model G10 Grizzly XL Relapse_TwoAge_B01</t>
        </is>
      </c>
      <c r="C184" s="4" t="inlineStr">
        <is>
          <t>JAGS_Female_2000</t>
        </is>
      </c>
      <c r="D184" s="5" t="n">
        <v>0.05</v>
      </c>
      <c r="E184" s="4" t="inlineStr">
        <is>
          <t>Variable</t>
        </is>
      </c>
      <c r="F184" s="4" t="inlineStr">
        <is>
          <t>Smoking initiation and cessation variable</t>
        </is>
      </c>
      <c r="G184" s="4" t="inlineStr">
        <is>
          <t>68 - 72</t>
        </is>
      </c>
      <c r="H184" s="4" t="inlineStr">
        <is>
          <t>ALL.T</t>
        </is>
      </c>
      <c r="I184" s="6" t="n">
        <v>787090.760532</v>
      </c>
      <c r="J184" s="7" t="n">
        <v>0.01</v>
      </c>
      <c r="K184" s="7" t="n">
        <v>0.009999999776482582</v>
      </c>
      <c r="L184" s="4" t="inlineStr">
        <is>
          <t>N/A</t>
        </is>
      </c>
      <c r="M184" s="4" t="inlineStr">
        <is>
          <t>N/A</t>
        </is>
      </c>
      <c r="N184" s="4" t="inlineStr">
        <is>
          <t>N/A</t>
        </is>
      </c>
      <c r="O184" s="4" t="inlineStr">
        <is>
          <t>N/A</t>
        </is>
      </c>
      <c r="P184" s="4" t="inlineStr">
        <is>
          <t>N/A</t>
        </is>
      </c>
      <c r="Q184" s="4" t="inlineStr">
        <is>
          <t>N/A</t>
        </is>
      </c>
      <c r="R184" s="8" t="n">
        <v>46254.7725327662</v>
      </c>
      <c r="S184" s="4" t="inlineStr">
        <is>
          <t>3.0.0</t>
        </is>
      </c>
      <c r="T184" s="4" t="inlineStr">
        <is>
          <t>1.8</t>
        </is>
      </c>
    </row>
    <row r="185">
      <c r="A185" s="4" t="inlineStr">
        <is>
          <t>Grizzly XL YO</t>
        </is>
      </c>
      <c r="B185" s="4" t="inlineStr">
        <is>
          <t>Master Model G10 Grizzly XL Relapse_TwoAge_B01</t>
        </is>
      </c>
      <c r="C185" s="4" t="inlineStr">
        <is>
          <t>JAGS_Female_2000</t>
        </is>
      </c>
      <c r="D185" s="5" t="n">
        <v>0.1</v>
      </c>
      <c r="E185" s="4" t="inlineStr">
        <is>
          <t>Variable</t>
        </is>
      </c>
      <c r="F185" s="4" t="inlineStr">
        <is>
          <t>Smoking initiation and cessation variable</t>
        </is>
      </c>
      <c r="G185" s="4" t="inlineStr">
        <is>
          <t>68 - 72</t>
        </is>
      </c>
      <c r="H185" s="4" t="inlineStr">
        <is>
          <t>DIFF_ALL</t>
        </is>
      </c>
      <c r="I185" s="6" t="n">
        <v>1826.295891</v>
      </c>
      <c r="J185" s="7" t="n">
        <v>0.01</v>
      </c>
      <c r="K185" s="7" t="n">
        <v>0.009999999776482582</v>
      </c>
      <c r="L185" s="4" t="inlineStr">
        <is>
          <t>N/A</t>
        </is>
      </c>
      <c r="M185" s="4" t="inlineStr">
        <is>
          <t>N/A</t>
        </is>
      </c>
      <c r="N185" s="4" t="inlineStr">
        <is>
          <t>N/A</t>
        </is>
      </c>
      <c r="O185" s="4" t="inlineStr">
        <is>
          <t>N/A</t>
        </is>
      </c>
      <c r="P185" s="4" t="inlineStr">
        <is>
          <t>N/A</t>
        </is>
      </c>
      <c r="Q185" s="4" t="inlineStr">
        <is>
          <t>N/A</t>
        </is>
      </c>
      <c r="R185" s="8" t="n">
        <v>46254.77253327546</v>
      </c>
      <c r="S185" s="4" t="inlineStr">
        <is>
          <t>3.0.0</t>
        </is>
      </c>
      <c r="T185" s="4" t="inlineStr">
        <is>
          <t>1.8</t>
        </is>
      </c>
    </row>
    <row r="186">
      <c r="A186" s="4" t="inlineStr">
        <is>
          <t>Grizzly XL YO</t>
        </is>
      </c>
      <c r="B186" s="4" t="inlineStr">
        <is>
          <t>Master Model G10 Grizzly XL Relapse_TwoAge_B01</t>
        </is>
      </c>
      <c r="C186" s="4" t="inlineStr">
        <is>
          <t>JAGS_Female_2000</t>
        </is>
      </c>
      <c r="D186" s="5" t="n">
        <v>0.1</v>
      </c>
      <c r="E186" s="4" t="inlineStr">
        <is>
          <t>Variable</t>
        </is>
      </c>
      <c r="F186" s="4" t="inlineStr">
        <is>
          <t>Smoking initiation and cessation variable</t>
        </is>
      </c>
      <c r="G186" s="4" t="inlineStr">
        <is>
          <t>68 - 72</t>
        </is>
      </c>
      <c r="H186" s="4" t="inlineStr">
        <is>
          <t>ALL.T</t>
        </is>
      </c>
      <c r="I186" s="6" t="n">
        <v>786591.488735</v>
      </c>
      <c r="J186" s="7" t="n">
        <v>0.01</v>
      </c>
      <c r="K186" s="7" t="n">
        <v>0.009999999776482582</v>
      </c>
      <c r="L186" s="4" t="inlineStr">
        <is>
          <t>N/A</t>
        </is>
      </c>
      <c r="M186" s="4" t="inlineStr">
        <is>
          <t>N/A</t>
        </is>
      </c>
      <c r="N186" s="4" t="inlineStr">
        <is>
          <t>N/A</t>
        </is>
      </c>
      <c r="O186" s="4" t="inlineStr">
        <is>
          <t>N/A</t>
        </is>
      </c>
      <c r="P186" s="4" t="inlineStr">
        <is>
          <t>N/A</t>
        </is>
      </c>
      <c r="Q186" s="4" t="inlineStr">
        <is>
          <t>N/A</t>
        </is>
      </c>
      <c r="R186" s="8" t="n">
        <v>46254.77253327546</v>
      </c>
      <c r="S186" s="4" t="inlineStr">
        <is>
          <t>3.0.0</t>
        </is>
      </c>
      <c r="T186" s="4" t="inlineStr">
        <is>
          <t>1.8</t>
        </is>
      </c>
    </row>
    <row r="187">
      <c r="A187" s="4" t="inlineStr">
        <is>
          <t>Grizzly XL YO</t>
        </is>
      </c>
      <c r="B187" s="4" t="inlineStr">
        <is>
          <t>Master Model G10 Grizzly XL Relapse_TwoAge_B02</t>
        </is>
      </c>
      <c r="C187" s="4" t="inlineStr">
        <is>
          <t>JAGS_Male_2000</t>
        </is>
      </c>
      <c r="D187" s="5" t="n">
        <v>0.05</v>
      </c>
      <c r="E187" s="4" t="inlineStr">
        <is>
          <t>Variable</t>
        </is>
      </c>
      <c r="F187" s="4" t="inlineStr">
        <is>
          <t>Smoking initiation and cessation variable</t>
        </is>
      </c>
      <c r="G187" s="4" t="inlineStr">
        <is>
          <t>68 - 72</t>
        </is>
      </c>
      <c r="H187" s="4" t="inlineStr">
        <is>
          <t>DIFF_ALL</t>
        </is>
      </c>
      <c r="I187" s="6" t="n">
        <v>2427.267287</v>
      </c>
      <c r="J187" s="7" t="n">
        <v>0.01</v>
      </c>
      <c r="K187" s="7" t="n">
        <v>0.009999999776482582</v>
      </c>
      <c r="L187" s="4" t="inlineStr">
        <is>
          <t>N/A</t>
        </is>
      </c>
      <c r="M187" s="4" t="inlineStr">
        <is>
          <t>N/A</t>
        </is>
      </c>
      <c r="N187" s="4" t="inlineStr">
        <is>
          <t>N/A</t>
        </is>
      </c>
      <c r="O187" s="4" t="inlineStr">
        <is>
          <t>N/A</t>
        </is>
      </c>
      <c r="P187" s="4" t="inlineStr">
        <is>
          <t>N/A</t>
        </is>
      </c>
      <c r="Q187" s="4" t="inlineStr">
        <is>
          <t>N/A</t>
        </is>
      </c>
      <c r="R187" s="8" t="n">
        <v>46254.77349832176</v>
      </c>
      <c r="S187" s="4" t="inlineStr">
        <is>
          <t>3.0.0</t>
        </is>
      </c>
      <c r="T187" s="4" t="inlineStr">
        <is>
          <t>1.8</t>
        </is>
      </c>
    </row>
    <row r="188">
      <c r="A188" s="4" t="inlineStr">
        <is>
          <t>Grizzly XL YO</t>
        </is>
      </c>
      <c r="B188" s="4" t="inlineStr">
        <is>
          <t>Master Model G10 Grizzly XL Relapse_TwoAge_B02</t>
        </is>
      </c>
      <c r="C188" s="4" t="inlineStr">
        <is>
          <t>JAGS_Male_2000</t>
        </is>
      </c>
      <c r="D188" s="5" t="n">
        <v>0.05</v>
      </c>
      <c r="E188" s="4" t="inlineStr">
        <is>
          <t>Variable</t>
        </is>
      </c>
      <c r="F188" s="4" t="inlineStr">
        <is>
          <t>Smoking initiation and cessation variable</t>
        </is>
      </c>
      <c r="G188" s="4" t="inlineStr">
        <is>
          <t>68 - 72</t>
        </is>
      </c>
      <c r="H188" s="4" t="inlineStr">
        <is>
          <t>ALL.T</t>
        </is>
      </c>
      <c r="I188" s="6" t="n">
        <v>680945.568637</v>
      </c>
      <c r="J188" s="7" t="n">
        <v>0.01</v>
      </c>
      <c r="K188" s="7" t="n">
        <v>0.009999999776482582</v>
      </c>
      <c r="L188" s="4" t="inlineStr">
        <is>
          <t>N/A</t>
        </is>
      </c>
      <c r="M188" s="4" t="inlineStr">
        <is>
          <t>N/A</t>
        </is>
      </c>
      <c r="N188" s="4" t="inlineStr">
        <is>
          <t>N/A</t>
        </is>
      </c>
      <c r="O188" s="4" t="inlineStr">
        <is>
          <t>N/A</t>
        </is>
      </c>
      <c r="P188" s="4" t="inlineStr">
        <is>
          <t>N/A</t>
        </is>
      </c>
      <c r="Q188" s="4" t="inlineStr">
        <is>
          <t>N/A</t>
        </is>
      </c>
      <c r="R188" s="8" t="n">
        <v>46254.77349832176</v>
      </c>
      <c r="S188" s="4" t="inlineStr">
        <is>
          <t>3.0.0</t>
        </is>
      </c>
      <c r="T188" s="4" t="inlineStr">
        <is>
          <t>1.8</t>
        </is>
      </c>
    </row>
    <row r="189">
      <c r="A189" s="4" t="inlineStr">
        <is>
          <t>Grizzly XL YO</t>
        </is>
      </c>
      <c r="B189" s="4" t="inlineStr">
        <is>
          <t>Master Model G10 Grizzly XL Relapse_TwoAge_B02</t>
        </is>
      </c>
      <c r="C189" s="4" t="inlineStr">
        <is>
          <t>JAGS_Male_2000</t>
        </is>
      </c>
      <c r="D189" s="5" t="n">
        <v>0.1</v>
      </c>
      <c r="E189" s="4" t="inlineStr">
        <is>
          <t>Variable</t>
        </is>
      </c>
      <c r="F189" s="4" t="inlineStr">
        <is>
          <t>Smoking initiation and cessation variable</t>
        </is>
      </c>
      <c r="G189" s="4" t="inlineStr">
        <is>
          <t>68 - 72</t>
        </is>
      </c>
      <c r="H189" s="4" t="inlineStr">
        <is>
          <t>DIFF_ALL</t>
        </is>
      </c>
      <c r="I189" s="6" t="n">
        <v>1959.021464</v>
      </c>
      <c r="J189" s="7" t="n">
        <v>0.01</v>
      </c>
      <c r="K189" s="7" t="n">
        <v>0.009999999776482582</v>
      </c>
      <c r="L189" s="4" t="inlineStr">
        <is>
          <t>N/A</t>
        </is>
      </c>
      <c r="M189" s="4" t="inlineStr">
        <is>
          <t>N/A</t>
        </is>
      </c>
      <c r="N189" s="4" t="inlineStr">
        <is>
          <t>N/A</t>
        </is>
      </c>
      <c r="O189" s="4" t="inlineStr">
        <is>
          <t>N/A</t>
        </is>
      </c>
      <c r="P189" s="4" t="inlineStr">
        <is>
          <t>N/A</t>
        </is>
      </c>
      <c r="Q189" s="4" t="inlineStr">
        <is>
          <t>N/A</t>
        </is>
      </c>
      <c r="R189" s="8" t="n">
        <v>46254.77349883102</v>
      </c>
      <c r="S189" s="4" t="inlineStr">
        <is>
          <t>3.0.0</t>
        </is>
      </c>
      <c r="T189" s="4" t="inlineStr">
        <is>
          <t>1.8</t>
        </is>
      </c>
    </row>
    <row r="190">
      <c r="A190" s="4" t="inlineStr">
        <is>
          <t>Grizzly XL YO</t>
        </is>
      </c>
      <c r="B190" s="4" t="inlineStr">
        <is>
          <t>Master Model G10 Grizzly XL Relapse_TwoAge_B02</t>
        </is>
      </c>
      <c r="C190" s="4" t="inlineStr">
        <is>
          <t>JAGS_Male_2000</t>
        </is>
      </c>
      <c r="D190" s="5" t="n">
        <v>0.1</v>
      </c>
      <c r="E190" s="4" t="inlineStr">
        <is>
          <t>Variable</t>
        </is>
      </c>
      <c r="F190" s="4" t="inlineStr">
        <is>
          <t>Smoking initiation and cessation variable</t>
        </is>
      </c>
      <c r="G190" s="4" t="inlineStr">
        <is>
          <t>68 - 72</t>
        </is>
      </c>
      <c r="H190" s="4" t="inlineStr">
        <is>
          <t>ALL.T</t>
        </is>
      </c>
      <c r="I190" s="6" t="n">
        <v>680477.3228129999</v>
      </c>
      <c r="J190" s="7" t="n">
        <v>0.01</v>
      </c>
      <c r="K190" s="7" t="n">
        <v>0.009999999776482582</v>
      </c>
      <c r="L190" s="4" t="inlineStr">
        <is>
          <t>N/A</t>
        </is>
      </c>
      <c r="M190" s="4" t="inlineStr">
        <is>
          <t>N/A</t>
        </is>
      </c>
      <c r="N190" s="4" t="inlineStr">
        <is>
          <t>N/A</t>
        </is>
      </c>
      <c r="O190" s="4" t="inlineStr">
        <is>
          <t>N/A</t>
        </is>
      </c>
      <c r="P190" s="4" t="inlineStr">
        <is>
          <t>N/A</t>
        </is>
      </c>
      <c r="Q190" s="4" t="inlineStr">
        <is>
          <t>N/A</t>
        </is>
      </c>
      <c r="R190" s="8" t="n">
        <v>46254.77349883102</v>
      </c>
      <c r="S190" s="4" t="inlineStr">
        <is>
          <t>3.0.0</t>
        </is>
      </c>
      <c r="T190" s="4" t="inlineStr">
        <is>
          <t>1.8</t>
        </is>
      </c>
    </row>
    <row r="191">
      <c r="A191" s="4" t="inlineStr">
        <is>
          <t>Grizzly XL YO</t>
        </is>
      </c>
      <c r="B191" s="4" t="inlineStr">
        <is>
          <t>Master Model G10 Grizzly XL Relapse_TwoAge_B02</t>
        </is>
      </c>
      <c r="C191" s="4" t="inlineStr">
        <is>
          <t>JAGS_Female_2000</t>
        </is>
      </c>
      <c r="D191" s="5" t="n">
        <v>0.05</v>
      </c>
      <c r="E191" s="4" t="inlineStr">
        <is>
          <t>Variable</t>
        </is>
      </c>
      <c r="F191" s="4" t="inlineStr">
        <is>
          <t>Smoking initiation and cessation variable</t>
        </is>
      </c>
      <c r="G191" s="4" t="inlineStr">
        <is>
          <t>68 - 72</t>
        </is>
      </c>
      <c r="H191" s="4" t="inlineStr">
        <is>
          <t>DIFF_ALL</t>
        </is>
      </c>
      <c r="I191" s="6" t="n">
        <v>2038.962745</v>
      </c>
      <c r="J191" s="7" t="n">
        <v>0.01</v>
      </c>
      <c r="K191" s="7" t="n">
        <v>0.009999999776482582</v>
      </c>
      <c r="L191" s="4" t="inlineStr">
        <is>
          <t>N/A</t>
        </is>
      </c>
      <c r="M191" s="4" t="inlineStr">
        <is>
          <t>N/A</t>
        </is>
      </c>
      <c r="N191" s="4" t="inlineStr">
        <is>
          <t>N/A</t>
        </is>
      </c>
      <c r="O191" s="4" t="inlineStr">
        <is>
          <t>N/A</t>
        </is>
      </c>
      <c r="P191" s="4" t="inlineStr">
        <is>
          <t>N/A</t>
        </is>
      </c>
      <c r="Q191" s="4" t="inlineStr">
        <is>
          <t>N/A</t>
        </is>
      </c>
      <c r="R191" s="8" t="n">
        <v>46254.7734992824</v>
      </c>
      <c r="S191" s="4" t="inlineStr">
        <is>
          <t>3.0.0</t>
        </is>
      </c>
      <c r="T191" s="4" t="inlineStr">
        <is>
          <t>1.8</t>
        </is>
      </c>
    </row>
    <row r="192">
      <c r="A192" s="4" t="inlineStr">
        <is>
          <t>Grizzly XL YO</t>
        </is>
      </c>
      <c r="B192" s="4" t="inlineStr">
        <is>
          <t>Master Model G10 Grizzly XL Relapse_TwoAge_B02</t>
        </is>
      </c>
      <c r="C192" s="4" t="inlineStr">
        <is>
          <t>JAGS_Female_2000</t>
        </is>
      </c>
      <c r="D192" s="5" t="n">
        <v>0.05</v>
      </c>
      <c r="E192" s="4" t="inlineStr">
        <is>
          <t>Variable</t>
        </is>
      </c>
      <c r="F192" s="4" t="inlineStr">
        <is>
          <t>Smoking initiation and cessation variable</t>
        </is>
      </c>
      <c r="G192" s="4" t="inlineStr">
        <is>
          <t>68 - 72</t>
        </is>
      </c>
      <c r="H192" s="4" t="inlineStr">
        <is>
          <t>ALL.T</t>
        </is>
      </c>
      <c r="I192" s="6" t="n">
        <v>786804.155589</v>
      </c>
      <c r="J192" s="7" t="n">
        <v>0.01</v>
      </c>
      <c r="K192" s="7" t="n">
        <v>0.009999999776482582</v>
      </c>
      <c r="L192" s="4" t="inlineStr">
        <is>
          <t>N/A</t>
        </is>
      </c>
      <c r="M192" s="4" t="inlineStr">
        <is>
          <t>N/A</t>
        </is>
      </c>
      <c r="N192" s="4" t="inlineStr">
        <is>
          <t>N/A</t>
        </is>
      </c>
      <c r="O192" s="4" t="inlineStr">
        <is>
          <t>N/A</t>
        </is>
      </c>
      <c r="P192" s="4" t="inlineStr">
        <is>
          <t>N/A</t>
        </is>
      </c>
      <c r="Q192" s="4" t="inlineStr">
        <is>
          <t>N/A</t>
        </is>
      </c>
      <c r="R192" s="8" t="n">
        <v>46254.7734992824</v>
      </c>
      <c r="S192" s="4" t="inlineStr">
        <is>
          <t>3.0.0</t>
        </is>
      </c>
      <c r="T192" s="4" t="inlineStr">
        <is>
          <t>1.8</t>
        </is>
      </c>
    </row>
    <row r="193">
      <c r="A193" s="4" t="inlineStr">
        <is>
          <t>Grizzly XL YO</t>
        </is>
      </c>
      <c r="B193" s="4" t="inlineStr">
        <is>
          <t>Master Model G10 Grizzly XL Relapse_TwoAge_B02</t>
        </is>
      </c>
      <c r="C193" s="4" t="inlineStr">
        <is>
          <t>JAGS_Female_2000</t>
        </is>
      </c>
      <c r="D193" s="5" t="n">
        <v>0.1</v>
      </c>
      <c r="E193" s="4" t="inlineStr">
        <is>
          <t>Variable</t>
        </is>
      </c>
      <c r="F193" s="4" t="inlineStr">
        <is>
          <t>Smoking initiation and cessation variable</t>
        </is>
      </c>
      <c r="G193" s="4" t="inlineStr">
        <is>
          <t>68 - 72</t>
        </is>
      </c>
      <c r="H193" s="4" t="inlineStr">
        <is>
          <t>DIFF_ALL</t>
        </is>
      </c>
      <c r="I193" s="6" t="n">
        <v>1661.662692</v>
      </c>
      <c r="J193" s="7" t="n">
        <v>0.01</v>
      </c>
      <c r="K193" s="7" t="n">
        <v>0.009999999776482582</v>
      </c>
      <c r="L193" s="4" t="inlineStr">
        <is>
          <t>N/A</t>
        </is>
      </c>
      <c r="M193" s="4" t="inlineStr">
        <is>
          <t>N/A</t>
        </is>
      </c>
      <c r="N193" s="4" t="inlineStr">
        <is>
          <t>N/A</t>
        </is>
      </c>
      <c r="O193" s="4" t="inlineStr">
        <is>
          <t>N/A</t>
        </is>
      </c>
      <c r="P193" s="4" t="inlineStr">
        <is>
          <t>N/A</t>
        </is>
      </c>
      <c r="Q193" s="4" t="inlineStr">
        <is>
          <t>N/A</t>
        </is>
      </c>
      <c r="R193" s="8" t="n">
        <v>46254.77349971065</v>
      </c>
      <c r="S193" s="4" t="inlineStr">
        <is>
          <t>3.0.0</t>
        </is>
      </c>
      <c r="T193" s="4" t="inlineStr">
        <is>
          <t>1.8</t>
        </is>
      </c>
    </row>
    <row r="194">
      <c r="A194" s="4" t="inlineStr">
        <is>
          <t>Grizzly XL YO</t>
        </is>
      </c>
      <c r="B194" s="4" t="inlineStr">
        <is>
          <t>Master Model G10 Grizzly XL Relapse_TwoAge_B02</t>
        </is>
      </c>
      <c r="C194" s="4" t="inlineStr">
        <is>
          <t>JAGS_Female_2000</t>
        </is>
      </c>
      <c r="D194" s="5" t="n">
        <v>0.1</v>
      </c>
      <c r="E194" s="4" t="inlineStr">
        <is>
          <t>Variable</t>
        </is>
      </c>
      <c r="F194" s="4" t="inlineStr">
        <is>
          <t>Smoking initiation and cessation variable</t>
        </is>
      </c>
      <c r="G194" s="4" t="inlineStr">
        <is>
          <t>68 - 72</t>
        </is>
      </c>
      <c r="H194" s="4" t="inlineStr">
        <is>
          <t>ALL.T</t>
        </is>
      </c>
      <c r="I194" s="6" t="n">
        <v>786426.855536</v>
      </c>
      <c r="J194" s="7" t="n">
        <v>0.01</v>
      </c>
      <c r="K194" s="7" t="n">
        <v>0.009999999776482582</v>
      </c>
      <c r="L194" s="4" t="inlineStr">
        <is>
          <t>N/A</t>
        </is>
      </c>
      <c r="M194" s="4" t="inlineStr">
        <is>
          <t>N/A</t>
        </is>
      </c>
      <c r="N194" s="4" t="inlineStr">
        <is>
          <t>N/A</t>
        </is>
      </c>
      <c r="O194" s="4" t="inlineStr">
        <is>
          <t>N/A</t>
        </is>
      </c>
      <c r="P194" s="4" t="inlineStr">
        <is>
          <t>N/A</t>
        </is>
      </c>
      <c r="Q194" s="4" t="inlineStr">
        <is>
          <t>N/A</t>
        </is>
      </c>
      <c r="R194" s="8" t="n">
        <v>46254.77349971065</v>
      </c>
      <c r="S194" s="4" t="inlineStr">
        <is>
          <t>3.0.0</t>
        </is>
      </c>
      <c r="T194" s="4" t="inlineStr">
        <is>
          <t>1.8</t>
        </is>
      </c>
    </row>
    <row r="195">
      <c r="A195" s="4" t="inlineStr">
        <is>
          <t>Grizzly XL YO</t>
        </is>
      </c>
      <c r="B195" s="4" t="inlineStr">
        <is>
          <t>Master Model G10 Grizzly XL Relapse_TwoAge_B03</t>
        </is>
      </c>
      <c r="C195" s="4" t="inlineStr">
        <is>
          <t>JAGS_Male_2000</t>
        </is>
      </c>
      <c r="D195" s="5" t="n">
        <v>0.05</v>
      </c>
      <c r="E195" s="4" t="inlineStr">
        <is>
          <t>Variable</t>
        </is>
      </c>
      <c r="F195" s="4" t="inlineStr">
        <is>
          <t>Smoking initiation and cessation variable</t>
        </is>
      </c>
      <c r="G195" s="4" t="inlineStr">
        <is>
          <t>68 - 72</t>
        </is>
      </c>
      <c r="H195" s="4" t="inlineStr">
        <is>
          <t>DIFF_ALL</t>
        </is>
      </c>
      <c r="I195" s="6" t="n">
        <v>1612.472778</v>
      </c>
      <c r="J195" s="7" t="n">
        <v>0.01</v>
      </c>
      <c r="K195" s="7" t="n">
        <v>0.009999999776482582</v>
      </c>
      <c r="L195" s="4" t="inlineStr">
        <is>
          <t>N/A</t>
        </is>
      </c>
      <c r="M195" s="4" t="inlineStr">
        <is>
          <t>N/A</t>
        </is>
      </c>
      <c r="N195" s="4" t="inlineStr">
        <is>
          <t>N/A</t>
        </is>
      </c>
      <c r="O195" s="4" t="inlineStr">
        <is>
          <t>N/A</t>
        </is>
      </c>
      <c r="P195" s="4" t="inlineStr">
        <is>
          <t>N/A</t>
        </is>
      </c>
      <c r="Q195" s="4" t="inlineStr">
        <is>
          <t>N/A</t>
        </is>
      </c>
      <c r="R195" s="8" t="n">
        <v>46254.77370252315</v>
      </c>
      <c r="S195" s="4" t="inlineStr">
        <is>
          <t>3.0.0</t>
        </is>
      </c>
      <c r="T195" s="4" t="inlineStr">
        <is>
          <t>1.8</t>
        </is>
      </c>
    </row>
    <row r="196">
      <c r="A196" s="4" t="inlineStr">
        <is>
          <t>Grizzly XL YO</t>
        </is>
      </c>
      <c r="B196" s="4" t="inlineStr">
        <is>
          <t>Master Model G10 Grizzly XL Relapse_TwoAge_B03</t>
        </is>
      </c>
      <c r="C196" s="4" t="inlineStr">
        <is>
          <t>JAGS_Male_2000</t>
        </is>
      </c>
      <c r="D196" s="5" t="n">
        <v>0.05</v>
      </c>
      <c r="E196" s="4" t="inlineStr">
        <is>
          <t>Variable</t>
        </is>
      </c>
      <c r="F196" s="4" t="inlineStr">
        <is>
          <t>Smoking initiation and cessation variable</t>
        </is>
      </c>
      <c r="G196" s="4" t="inlineStr">
        <is>
          <t>68 - 72</t>
        </is>
      </c>
      <c r="H196" s="4" t="inlineStr">
        <is>
          <t>ALL.T</t>
        </is>
      </c>
      <c r="I196" s="6" t="n">
        <v>680130.774127</v>
      </c>
      <c r="J196" s="7" t="n">
        <v>0.01</v>
      </c>
      <c r="K196" s="7" t="n">
        <v>0.009999999776482582</v>
      </c>
      <c r="L196" s="4" t="inlineStr">
        <is>
          <t>N/A</t>
        </is>
      </c>
      <c r="M196" s="4" t="inlineStr">
        <is>
          <t>N/A</t>
        </is>
      </c>
      <c r="N196" s="4" t="inlineStr">
        <is>
          <t>N/A</t>
        </is>
      </c>
      <c r="O196" s="4" t="inlineStr">
        <is>
          <t>N/A</t>
        </is>
      </c>
      <c r="P196" s="4" t="inlineStr">
        <is>
          <t>N/A</t>
        </is>
      </c>
      <c r="Q196" s="4" t="inlineStr">
        <is>
          <t>N/A</t>
        </is>
      </c>
      <c r="R196" s="8" t="n">
        <v>46254.77370252315</v>
      </c>
      <c r="S196" s="4" t="inlineStr">
        <is>
          <t>3.0.0</t>
        </is>
      </c>
      <c r="T196" s="4" t="inlineStr">
        <is>
          <t>1.8</t>
        </is>
      </c>
    </row>
    <row r="197">
      <c r="A197" s="4" t="inlineStr">
        <is>
          <t>Grizzly XL YO</t>
        </is>
      </c>
      <c r="B197" s="4" t="inlineStr">
        <is>
          <t>Master Model G10 Grizzly XL Relapse_TwoAge_B03</t>
        </is>
      </c>
      <c r="C197" s="4" t="inlineStr">
        <is>
          <t>JAGS_Male_2000</t>
        </is>
      </c>
      <c r="D197" s="5" t="n">
        <v>0.1</v>
      </c>
      <c r="E197" s="4" t="inlineStr">
        <is>
          <t>Variable</t>
        </is>
      </c>
      <c r="F197" s="4" t="inlineStr">
        <is>
          <t>Smoking initiation and cessation variable</t>
        </is>
      </c>
      <c r="G197" s="4" t="inlineStr">
        <is>
          <t>68 - 72</t>
        </is>
      </c>
      <c r="H197" s="4" t="inlineStr">
        <is>
          <t>DIFF_ALL</t>
        </is>
      </c>
      <c r="I197" s="6" t="n">
        <v>1376.777281</v>
      </c>
      <c r="J197" s="7" t="n">
        <v>0.01</v>
      </c>
      <c r="K197" s="7" t="n">
        <v>0.009999999776482582</v>
      </c>
      <c r="L197" s="4" t="inlineStr">
        <is>
          <t>N/A</t>
        </is>
      </c>
      <c r="M197" s="4" t="inlineStr">
        <is>
          <t>N/A</t>
        </is>
      </c>
      <c r="N197" s="4" t="inlineStr">
        <is>
          <t>N/A</t>
        </is>
      </c>
      <c r="O197" s="4" t="inlineStr">
        <is>
          <t>N/A</t>
        </is>
      </c>
      <c r="P197" s="4" t="inlineStr">
        <is>
          <t>N/A</t>
        </is>
      </c>
      <c r="Q197" s="4" t="inlineStr">
        <is>
          <t>N/A</t>
        </is>
      </c>
      <c r="R197" s="8" t="n">
        <v>46254.77372869213</v>
      </c>
      <c r="S197" s="4" t="inlineStr">
        <is>
          <t>3.0.0</t>
        </is>
      </c>
      <c r="T197" s="4" t="inlineStr">
        <is>
          <t>1.8</t>
        </is>
      </c>
    </row>
    <row r="198">
      <c r="A198" s="4" t="inlineStr">
        <is>
          <t>Grizzly XL YO</t>
        </is>
      </c>
      <c r="B198" s="4" t="inlineStr">
        <is>
          <t>Master Model G10 Grizzly XL Relapse_TwoAge_B03</t>
        </is>
      </c>
      <c r="C198" s="4" t="inlineStr">
        <is>
          <t>JAGS_Male_2000</t>
        </is>
      </c>
      <c r="D198" s="5" t="n">
        <v>0.1</v>
      </c>
      <c r="E198" s="4" t="inlineStr">
        <is>
          <t>Variable</t>
        </is>
      </c>
      <c r="F198" s="4" t="inlineStr">
        <is>
          <t>Smoking initiation and cessation variable</t>
        </is>
      </c>
      <c r="G198" s="4" t="inlineStr">
        <is>
          <t>68 - 72</t>
        </is>
      </c>
      <c r="H198" s="4" t="inlineStr">
        <is>
          <t>ALL.T</t>
        </is>
      </c>
      <c r="I198" s="6" t="n">
        <v>679895.07863</v>
      </c>
      <c r="J198" s="7" t="n">
        <v>0.01</v>
      </c>
      <c r="K198" s="7" t="n">
        <v>0.009999999776482582</v>
      </c>
      <c r="L198" s="4" t="inlineStr">
        <is>
          <t>N/A</t>
        </is>
      </c>
      <c r="M198" s="4" t="inlineStr">
        <is>
          <t>N/A</t>
        </is>
      </c>
      <c r="N198" s="4" t="inlineStr">
        <is>
          <t>N/A</t>
        </is>
      </c>
      <c r="O198" s="4" t="inlineStr">
        <is>
          <t>N/A</t>
        </is>
      </c>
      <c r="P198" s="4" t="inlineStr">
        <is>
          <t>N/A</t>
        </is>
      </c>
      <c r="Q198" s="4" t="inlineStr">
        <is>
          <t>N/A</t>
        </is>
      </c>
      <c r="R198" s="8" t="n">
        <v>46254.77372869213</v>
      </c>
      <c r="S198" s="4" t="inlineStr">
        <is>
          <t>3.0.0</t>
        </is>
      </c>
      <c r="T198" s="4" t="inlineStr">
        <is>
          <t>1.8</t>
        </is>
      </c>
    </row>
    <row r="199">
      <c r="A199" s="4" t="inlineStr">
        <is>
          <t>Grizzly XL YO</t>
        </is>
      </c>
      <c r="B199" s="4" t="inlineStr">
        <is>
          <t>Master Model G10 Grizzly XL Relapse_TwoAge_B03</t>
        </is>
      </c>
      <c r="C199" s="4" t="inlineStr">
        <is>
          <t>JAGS_Female_2000</t>
        </is>
      </c>
      <c r="D199" s="5" t="n">
        <v>0.05</v>
      </c>
      <c r="E199" s="4" t="inlineStr">
        <is>
          <t>Variable</t>
        </is>
      </c>
      <c r="F199" s="4" t="inlineStr">
        <is>
          <t>Smoking initiation and cessation variable</t>
        </is>
      </c>
      <c r="G199" s="4" t="inlineStr">
        <is>
          <t>68 - 72</t>
        </is>
      </c>
      <c r="H199" s="4" t="inlineStr">
        <is>
          <t>DIFF_ALL</t>
        </is>
      </c>
      <c r="I199" s="6" t="n">
        <v>1296.824212</v>
      </c>
      <c r="J199" s="7" t="n">
        <v>0.01</v>
      </c>
      <c r="K199" s="7" t="n">
        <v>0.009999999776482582</v>
      </c>
      <c r="L199" s="4" t="inlineStr">
        <is>
          <t>N/A</t>
        </is>
      </c>
      <c r="M199" s="4" t="inlineStr">
        <is>
          <t>N/A</t>
        </is>
      </c>
      <c r="N199" s="4" t="inlineStr">
        <is>
          <t>N/A</t>
        </is>
      </c>
      <c r="O199" s="4" t="inlineStr">
        <is>
          <t>N/A</t>
        </is>
      </c>
      <c r="P199" s="4" t="inlineStr">
        <is>
          <t>N/A</t>
        </is>
      </c>
      <c r="Q199" s="4" t="inlineStr">
        <is>
          <t>N/A</t>
        </is>
      </c>
      <c r="R199" s="8" t="n">
        <v>46254.77375975694</v>
      </c>
      <c r="S199" s="4" t="inlineStr">
        <is>
          <t>3.0.0</t>
        </is>
      </c>
      <c r="T199" s="4" t="inlineStr">
        <is>
          <t>1.8</t>
        </is>
      </c>
    </row>
    <row r="200">
      <c r="A200" s="4" t="inlineStr">
        <is>
          <t>Grizzly XL YO</t>
        </is>
      </c>
      <c r="B200" s="4" t="inlineStr">
        <is>
          <t>Master Model G10 Grizzly XL Relapse_TwoAge_B03</t>
        </is>
      </c>
      <c r="C200" s="4" t="inlineStr">
        <is>
          <t>JAGS_Female_2000</t>
        </is>
      </c>
      <c r="D200" s="5" t="n">
        <v>0.05</v>
      </c>
      <c r="E200" s="4" t="inlineStr">
        <is>
          <t>Variable</t>
        </is>
      </c>
      <c r="F200" s="4" t="inlineStr">
        <is>
          <t>Smoking initiation and cessation variable</t>
        </is>
      </c>
      <c r="G200" s="4" t="inlineStr">
        <is>
          <t>68 - 72</t>
        </is>
      </c>
      <c r="H200" s="4" t="inlineStr">
        <is>
          <t>ALL.T</t>
        </is>
      </c>
      <c r="I200" s="6" t="n">
        <v>786062.017056</v>
      </c>
      <c r="J200" s="7" t="n">
        <v>0.01</v>
      </c>
      <c r="K200" s="7" t="n">
        <v>0.009999999776482582</v>
      </c>
      <c r="L200" s="4" t="inlineStr">
        <is>
          <t>N/A</t>
        </is>
      </c>
      <c r="M200" s="4" t="inlineStr">
        <is>
          <t>N/A</t>
        </is>
      </c>
      <c r="N200" s="4" t="inlineStr">
        <is>
          <t>N/A</t>
        </is>
      </c>
      <c r="O200" s="4" t="inlineStr">
        <is>
          <t>N/A</t>
        </is>
      </c>
      <c r="P200" s="4" t="inlineStr">
        <is>
          <t>N/A</t>
        </is>
      </c>
      <c r="Q200" s="4" t="inlineStr">
        <is>
          <t>N/A</t>
        </is>
      </c>
      <c r="R200" s="8" t="n">
        <v>46254.77375975694</v>
      </c>
      <c r="S200" s="4" t="inlineStr">
        <is>
          <t>3.0.0</t>
        </is>
      </c>
      <c r="T200" s="4" t="inlineStr">
        <is>
          <t>1.8</t>
        </is>
      </c>
    </row>
    <row r="201">
      <c r="A201" s="4" t="inlineStr">
        <is>
          <t>Grizzly XL YO</t>
        </is>
      </c>
      <c r="B201" s="4" t="inlineStr">
        <is>
          <t>Master Model G10 Grizzly XL Relapse_TwoAge_B03</t>
        </is>
      </c>
      <c r="C201" s="4" t="inlineStr">
        <is>
          <t>JAGS_Female_2000</t>
        </is>
      </c>
      <c r="D201" s="5" t="n">
        <v>0.1</v>
      </c>
      <c r="E201" s="4" t="inlineStr">
        <is>
          <t>Variable</t>
        </is>
      </c>
      <c r="F201" s="4" t="inlineStr">
        <is>
          <t>Smoking initiation and cessation variable</t>
        </is>
      </c>
      <c r="G201" s="4" t="inlineStr">
        <is>
          <t>68 - 72</t>
        </is>
      </c>
      <c r="H201" s="4" t="inlineStr">
        <is>
          <t>DIFF_ALL</t>
        </is>
      </c>
      <c r="I201" s="6" t="n">
        <v>1110.763293</v>
      </c>
      <c r="J201" s="7" t="n">
        <v>0.01</v>
      </c>
      <c r="K201" s="7" t="n">
        <v>0.009999999776482582</v>
      </c>
      <c r="L201" s="4" t="inlineStr">
        <is>
          <t>N/A</t>
        </is>
      </c>
      <c r="M201" s="4" t="inlineStr">
        <is>
          <t>N/A</t>
        </is>
      </c>
      <c r="N201" s="4" t="inlineStr">
        <is>
          <t>N/A</t>
        </is>
      </c>
      <c r="O201" s="4" t="inlineStr">
        <is>
          <t>N/A</t>
        </is>
      </c>
      <c r="P201" s="4" t="inlineStr">
        <is>
          <t>N/A</t>
        </is>
      </c>
      <c r="Q201" s="4" t="inlineStr">
        <is>
          <t>N/A</t>
        </is>
      </c>
      <c r="R201" s="8" t="n">
        <v>46254.77377680555</v>
      </c>
      <c r="S201" s="4" t="inlineStr">
        <is>
          <t>3.0.0</t>
        </is>
      </c>
      <c r="T201" s="4" t="inlineStr">
        <is>
          <t>1.8</t>
        </is>
      </c>
    </row>
    <row r="202">
      <c r="A202" s="4" t="inlineStr">
        <is>
          <t>Grizzly XL YO</t>
        </is>
      </c>
      <c r="B202" s="4" t="inlineStr">
        <is>
          <t>Master Model G10 Grizzly XL Relapse_TwoAge_B03</t>
        </is>
      </c>
      <c r="C202" s="4" t="inlineStr">
        <is>
          <t>JAGS_Female_2000</t>
        </is>
      </c>
      <c r="D202" s="5" t="n">
        <v>0.1</v>
      </c>
      <c r="E202" s="4" t="inlineStr">
        <is>
          <t>Variable</t>
        </is>
      </c>
      <c r="F202" s="4" t="inlineStr">
        <is>
          <t>Smoking initiation and cessation variable</t>
        </is>
      </c>
      <c r="G202" s="4" t="inlineStr">
        <is>
          <t>68 - 72</t>
        </is>
      </c>
      <c r="H202" s="4" t="inlineStr">
        <is>
          <t>ALL.T</t>
        </is>
      </c>
      <c r="I202" s="6" t="n">
        <v>785875.956137</v>
      </c>
      <c r="J202" s="7" t="n">
        <v>0.01</v>
      </c>
      <c r="K202" s="7" t="n">
        <v>0.009999999776482582</v>
      </c>
      <c r="L202" s="4" t="inlineStr">
        <is>
          <t>N/A</t>
        </is>
      </c>
      <c r="M202" s="4" t="inlineStr">
        <is>
          <t>N/A</t>
        </is>
      </c>
      <c r="N202" s="4" t="inlineStr">
        <is>
          <t>N/A</t>
        </is>
      </c>
      <c r="O202" s="4" t="inlineStr">
        <is>
          <t>N/A</t>
        </is>
      </c>
      <c r="P202" s="4" t="inlineStr">
        <is>
          <t>N/A</t>
        </is>
      </c>
      <c r="Q202" s="4" t="inlineStr">
        <is>
          <t>N/A</t>
        </is>
      </c>
      <c r="R202" s="8" t="n">
        <v>46254.77377680555</v>
      </c>
      <c r="S202" s="4" t="inlineStr">
        <is>
          <t>3.0.0</t>
        </is>
      </c>
      <c r="T202" s="4" t="inlineStr">
        <is>
          <t>1.8</t>
        </is>
      </c>
    </row>
    <row r="203">
      <c r="A203" s="4" t="inlineStr">
        <is>
          <t>Grizzly XL YO</t>
        </is>
      </c>
      <c r="B203" s="4" t="inlineStr">
        <is>
          <t>Master Model G10 Grizzly XL Relapse_TwoAge_B04</t>
        </is>
      </c>
      <c r="C203" s="4" t="inlineStr">
        <is>
          <t>JAGS_Male_2000</t>
        </is>
      </c>
      <c r="D203" s="5" t="n">
        <v>0.05</v>
      </c>
      <c r="E203" s="4" t="inlineStr">
        <is>
          <t>Variable</t>
        </is>
      </c>
      <c r="F203" s="4" t="inlineStr">
        <is>
          <t>Smoking initiation and cessation variable</t>
        </is>
      </c>
      <c r="G203" s="4" t="inlineStr">
        <is>
          <t>68 - 72</t>
        </is>
      </c>
      <c r="H203" s="4" t="inlineStr">
        <is>
          <t>DIFF_ALL</t>
        </is>
      </c>
      <c r="I203" s="6" t="n">
        <v>1069.861195</v>
      </c>
      <c r="J203" s="7" t="n">
        <v>0.01</v>
      </c>
      <c r="K203" s="7" t="n">
        <v>0.009999999776482582</v>
      </c>
      <c r="L203" s="4" t="inlineStr">
        <is>
          <t>N/A</t>
        </is>
      </c>
      <c r="M203" s="4" t="inlineStr">
        <is>
          <t>N/A</t>
        </is>
      </c>
      <c r="N203" s="4" t="inlineStr">
        <is>
          <t>N/A</t>
        </is>
      </c>
      <c r="O203" s="4" t="inlineStr">
        <is>
          <t>N/A</t>
        </is>
      </c>
      <c r="P203" s="4" t="inlineStr">
        <is>
          <t>N/A</t>
        </is>
      </c>
      <c r="Q203" s="4" t="inlineStr">
        <is>
          <t>N/A</t>
        </is>
      </c>
      <c r="R203" s="8" t="n">
        <v>46254.77399582176</v>
      </c>
      <c r="S203" s="4" t="inlineStr">
        <is>
          <t>3.0.0</t>
        </is>
      </c>
      <c r="T203" s="4" t="inlineStr">
        <is>
          <t>1.8</t>
        </is>
      </c>
    </row>
    <row r="204">
      <c r="A204" s="4" t="inlineStr">
        <is>
          <t>Grizzly XL YO</t>
        </is>
      </c>
      <c r="B204" s="4" t="inlineStr">
        <is>
          <t>Master Model G10 Grizzly XL Relapse_TwoAge_B04</t>
        </is>
      </c>
      <c r="C204" s="4" t="inlineStr">
        <is>
          <t>JAGS_Male_2000</t>
        </is>
      </c>
      <c r="D204" s="5" t="n">
        <v>0.05</v>
      </c>
      <c r="E204" s="4" t="inlineStr">
        <is>
          <t>Variable</t>
        </is>
      </c>
      <c r="F204" s="4" t="inlineStr">
        <is>
          <t>Smoking initiation and cessation variable</t>
        </is>
      </c>
      <c r="G204" s="4" t="inlineStr">
        <is>
          <t>68 - 72</t>
        </is>
      </c>
      <c r="H204" s="4" t="inlineStr">
        <is>
          <t>ALL.T</t>
        </is>
      </c>
      <c r="I204" s="6" t="n">
        <v>679622.9651180001</v>
      </c>
      <c r="J204" s="7" t="n">
        <v>0.01</v>
      </c>
      <c r="K204" s="7" t="n">
        <v>0.009999999776482582</v>
      </c>
      <c r="L204" s="4" t="inlineStr">
        <is>
          <t>N/A</t>
        </is>
      </c>
      <c r="M204" s="4" t="inlineStr">
        <is>
          <t>N/A</t>
        </is>
      </c>
      <c r="N204" s="4" t="inlineStr">
        <is>
          <t>N/A</t>
        </is>
      </c>
      <c r="O204" s="4" t="inlineStr">
        <is>
          <t>N/A</t>
        </is>
      </c>
      <c r="P204" s="4" t="inlineStr">
        <is>
          <t>N/A</t>
        </is>
      </c>
      <c r="Q204" s="4" t="inlineStr">
        <is>
          <t>N/A</t>
        </is>
      </c>
      <c r="R204" s="8" t="n">
        <v>46254.77399582176</v>
      </c>
      <c r="S204" s="4" t="inlineStr">
        <is>
          <t>3.0.0</t>
        </is>
      </c>
      <c r="T204" s="4" t="inlineStr">
        <is>
          <t>1.8</t>
        </is>
      </c>
    </row>
    <row r="205">
      <c r="A205" s="4" t="inlineStr">
        <is>
          <t>Grizzly XL YO</t>
        </is>
      </c>
      <c r="B205" s="4" t="inlineStr">
        <is>
          <t>Master Model G10 Grizzly XL Relapse_TwoAge_B04</t>
        </is>
      </c>
      <c r="C205" s="4" t="inlineStr">
        <is>
          <t>JAGS_Male_2000</t>
        </is>
      </c>
      <c r="D205" s="5" t="n">
        <v>0.1</v>
      </c>
      <c r="E205" s="4" t="inlineStr">
        <is>
          <t>Variable</t>
        </is>
      </c>
      <c r="F205" s="4" t="inlineStr">
        <is>
          <t>Smoking initiation and cessation variable</t>
        </is>
      </c>
      <c r="G205" s="4" t="inlineStr">
        <is>
          <t>68 - 72</t>
        </is>
      </c>
      <c r="H205" s="4" t="inlineStr">
        <is>
          <t>DIFF_ALL</t>
        </is>
      </c>
      <c r="I205" s="6" t="n">
        <v>979.472255</v>
      </c>
      <c r="J205" s="7" t="n">
        <v>0.01</v>
      </c>
      <c r="K205" s="7" t="n">
        <v>0.009999999776482582</v>
      </c>
      <c r="L205" s="4" t="inlineStr">
        <is>
          <t>N/A</t>
        </is>
      </c>
      <c r="M205" s="4" t="inlineStr">
        <is>
          <t>N/A</t>
        </is>
      </c>
      <c r="N205" s="4" t="inlineStr">
        <is>
          <t>N/A</t>
        </is>
      </c>
      <c r="O205" s="4" t="inlineStr">
        <is>
          <t>N/A</t>
        </is>
      </c>
      <c r="P205" s="4" t="inlineStr">
        <is>
          <t>N/A</t>
        </is>
      </c>
      <c r="Q205" s="4" t="inlineStr">
        <is>
          <t>N/A</t>
        </is>
      </c>
      <c r="R205" s="8" t="n">
        <v>46254.77399652778</v>
      </c>
      <c r="S205" s="4" t="inlineStr">
        <is>
          <t>3.0.0</t>
        </is>
      </c>
      <c r="T205" s="4" t="inlineStr">
        <is>
          <t>1.8</t>
        </is>
      </c>
    </row>
    <row r="206">
      <c r="A206" s="4" t="inlineStr">
        <is>
          <t>Grizzly XL YO</t>
        </is>
      </c>
      <c r="B206" s="4" t="inlineStr">
        <is>
          <t>Master Model G10 Grizzly XL Relapse_TwoAge_B04</t>
        </is>
      </c>
      <c r="C206" s="4" t="inlineStr">
        <is>
          <t>JAGS_Male_2000</t>
        </is>
      </c>
      <c r="D206" s="5" t="n">
        <v>0.1</v>
      </c>
      <c r="E206" s="4" t="inlineStr">
        <is>
          <t>Variable</t>
        </is>
      </c>
      <c r="F206" s="4" t="inlineStr">
        <is>
          <t>Smoking initiation and cessation variable</t>
        </is>
      </c>
      <c r="G206" s="4" t="inlineStr">
        <is>
          <t>68 - 72</t>
        </is>
      </c>
      <c r="H206" s="4" t="inlineStr">
        <is>
          <t>ALL.T</t>
        </is>
      </c>
      <c r="I206" s="6" t="n">
        <v>679532.576177</v>
      </c>
      <c r="J206" s="7" t="n">
        <v>0.01</v>
      </c>
      <c r="K206" s="7" t="n">
        <v>0.009999999776482582</v>
      </c>
      <c r="L206" s="4" t="inlineStr">
        <is>
          <t>N/A</t>
        </is>
      </c>
      <c r="M206" s="4" t="inlineStr">
        <is>
          <t>N/A</t>
        </is>
      </c>
      <c r="N206" s="4" t="inlineStr">
        <is>
          <t>N/A</t>
        </is>
      </c>
      <c r="O206" s="4" t="inlineStr">
        <is>
          <t>N/A</t>
        </is>
      </c>
      <c r="P206" s="4" t="inlineStr">
        <is>
          <t>N/A</t>
        </is>
      </c>
      <c r="Q206" s="4" t="inlineStr">
        <is>
          <t>N/A</t>
        </is>
      </c>
      <c r="R206" s="8" t="n">
        <v>46254.77399652778</v>
      </c>
      <c r="S206" s="4" t="inlineStr">
        <is>
          <t>3.0.0</t>
        </is>
      </c>
      <c r="T206" s="4" t="inlineStr">
        <is>
          <t>1.8</t>
        </is>
      </c>
    </row>
    <row r="207">
      <c r="A207" s="4" t="inlineStr">
        <is>
          <t>Grizzly XL YO</t>
        </is>
      </c>
      <c r="B207" s="4" t="inlineStr">
        <is>
          <t>Master Model G10 Grizzly XL Relapse_TwoAge_B04</t>
        </is>
      </c>
      <c r="C207" s="4" t="inlineStr">
        <is>
          <t>JAGS_Female_2000</t>
        </is>
      </c>
      <c r="D207" s="5" t="n">
        <v>0.05</v>
      </c>
      <c r="E207" s="4" t="inlineStr">
        <is>
          <t>Variable</t>
        </is>
      </c>
      <c r="F207" s="4" t="inlineStr">
        <is>
          <t>Smoking initiation and cessation variable</t>
        </is>
      </c>
      <c r="G207" s="4" t="inlineStr">
        <is>
          <t>68 - 72</t>
        </is>
      </c>
      <c r="H207" s="4" t="inlineStr">
        <is>
          <t>DIFF_ALL</t>
        </is>
      </c>
      <c r="I207" s="6" t="n">
        <v>866.880928</v>
      </c>
      <c r="J207" s="7" t="n">
        <v>0.01</v>
      </c>
      <c r="K207" s="7" t="n">
        <v>0.009999999776482582</v>
      </c>
      <c r="L207" s="4" t="inlineStr">
        <is>
          <t>N/A</t>
        </is>
      </c>
      <c r="M207" s="4" t="inlineStr">
        <is>
          <t>N/A</t>
        </is>
      </c>
      <c r="N207" s="4" t="inlineStr">
        <is>
          <t>N/A</t>
        </is>
      </c>
      <c r="O207" s="4" t="inlineStr">
        <is>
          <t>N/A</t>
        </is>
      </c>
      <c r="P207" s="4" t="inlineStr">
        <is>
          <t>N/A</t>
        </is>
      </c>
      <c r="Q207" s="4" t="inlineStr">
        <is>
          <t>N/A</t>
        </is>
      </c>
      <c r="R207" s="8" t="n">
        <v>46254.77399699074</v>
      </c>
      <c r="S207" s="4" t="inlineStr">
        <is>
          <t>3.0.0</t>
        </is>
      </c>
      <c r="T207" s="4" t="inlineStr">
        <is>
          <t>1.8</t>
        </is>
      </c>
    </row>
    <row r="208">
      <c r="A208" s="4" t="inlineStr">
        <is>
          <t>Grizzly XL YO</t>
        </is>
      </c>
      <c r="B208" s="4" t="inlineStr">
        <is>
          <t>Master Model G10 Grizzly XL Relapse_TwoAge_B04</t>
        </is>
      </c>
      <c r="C208" s="4" t="inlineStr">
        <is>
          <t>JAGS_Female_2000</t>
        </is>
      </c>
      <c r="D208" s="5" t="n">
        <v>0.05</v>
      </c>
      <c r="E208" s="4" t="inlineStr">
        <is>
          <t>Variable</t>
        </is>
      </c>
      <c r="F208" s="4" t="inlineStr">
        <is>
          <t>Smoking initiation and cessation variable</t>
        </is>
      </c>
      <c r="G208" s="4" t="inlineStr">
        <is>
          <t>68 - 72</t>
        </is>
      </c>
      <c r="H208" s="4" t="inlineStr">
        <is>
          <t>ALL.T</t>
        </is>
      </c>
      <c r="I208" s="6" t="n">
        <v>785656.796288</v>
      </c>
      <c r="J208" s="7" t="n">
        <v>0.01</v>
      </c>
      <c r="K208" s="7" t="n">
        <v>0.009999999776482582</v>
      </c>
      <c r="L208" s="4" t="inlineStr">
        <is>
          <t>N/A</t>
        </is>
      </c>
      <c r="M208" s="4" t="inlineStr">
        <is>
          <t>N/A</t>
        </is>
      </c>
      <c r="N208" s="4" t="inlineStr">
        <is>
          <t>N/A</t>
        </is>
      </c>
      <c r="O208" s="4" t="inlineStr">
        <is>
          <t>N/A</t>
        </is>
      </c>
      <c r="P208" s="4" t="inlineStr">
        <is>
          <t>N/A</t>
        </is>
      </c>
      <c r="Q208" s="4" t="inlineStr">
        <is>
          <t>N/A</t>
        </is>
      </c>
      <c r="R208" s="8" t="n">
        <v>46254.77399699074</v>
      </c>
      <c r="S208" s="4" t="inlineStr">
        <is>
          <t>3.0.0</t>
        </is>
      </c>
      <c r="T208" s="4" t="inlineStr">
        <is>
          <t>1.8</t>
        </is>
      </c>
    </row>
    <row r="209">
      <c r="A209" s="4" t="inlineStr">
        <is>
          <t>Grizzly XL YO</t>
        </is>
      </c>
      <c r="B209" s="4" t="inlineStr">
        <is>
          <t>Master Model G10 Grizzly XL Relapse_TwoAge_B04</t>
        </is>
      </c>
      <c r="C209" s="4" t="inlineStr">
        <is>
          <t>JAGS_Female_2000</t>
        </is>
      </c>
      <c r="D209" s="5" t="n">
        <v>0.1</v>
      </c>
      <c r="E209" s="4" t="inlineStr">
        <is>
          <t>Variable</t>
        </is>
      </c>
      <c r="F209" s="4" t="inlineStr">
        <is>
          <t>Smoking initiation and cessation variable</t>
        </is>
      </c>
      <c r="G209" s="4" t="inlineStr">
        <is>
          <t>68 - 72</t>
        </is>
      </c>
      <c r="H209" s="4" t="inlineStr">
        <is>
          <t>DIFF_ALL</t>
        </is>
      </c>
      <c r="I209" s="6" t="n">
        <v>796.316383</v>
      </c>
      <c r="J209" s="7" t="n">
        <v>0.01</v>
      </c>
      <c r="K209" s="7" t="n">
        <v>0.009999999776482582</v>
      </c>
      <c r="L209" s="4" t="inlineStr">
        <is>
          <t>N/A</t>
        </is>
      </c>
      <c r="M209" s="4" t="inlineStr">
        <is>
          <t>N/A</t>
        </is>
      </c>
      <c r="N209" s="4" t="inlineStr">
        <is>
          <t>N/A</t>
        </is>
      </c>
      <c r="O209" s="4" t="inlineStr">
        <is>
          <t>N/A</t>
        </is>
      </c>
      <c r="P209" s="4" t="inlineStr">
        <is>
          <t>N/A</t>
        </is>
      </c>
      <c r="Q209" s="4" t="inlineStr">
        <is>
          <t>N/A</t>
        </is>
      </c>
      <c r="R209" s="8" t="n">
        <v>46254.7739975</v>
      </c>
      <c r="S209" s="4" t="inlineStr">
        <is>
          <t>3.0.0</t>
        </is>
      </c>
      <c r="T209" s="4" t="inlineStr">
        <is>
          <t>1.8</t>
        </is>
      </c>
    </row>
    <row r="210">
      <c r="A210" s="4" t="inlineStr">
        <is>
          <t>Grizzly XL YO</t>
        </is>
      </c>
      <c r="B210" s="4" t="inlineStr">
        <is>
          <t>Master Model G10 Grizzly XL Relapse_TwoAge_B04</t>
        </is>
      </c>
      <c r="C210" s="4" t="inlineStr">
        <is>
          <t>JAGS_Female_2000</t>
        </is>
      </c>
      <c r="D210" s="5" t="n">
        <v>0.1</v>
      </c>
      <c r="E210" s="4" t="inlineStr">
        <is>
          <t>Variable</t>
        </is>
      </c>
      <c r="F210" s="4" t="inlineStr">
        <is>
          <t>Smoking initiation and cessation variable</t>
        </is>
      </c>
      <c r="G210" s="4" t="inlineStr">
        <is>
          <t>68 - 72</t>
        </is>
      </c>
      <c r="H210" s="4" t="inlineStr">
        <is>
          <t>ALL.T</t>
        </is>
      </c>
      <c r="I210" s="6" t="n">
        <v>785586.231743</v>
      </c>
      <c r="J210" s="7" t="n">
        <v>0.01</v>
      </c>
      <c r="K210" s="7" t="n">
        <v>0.009999999776482582</v>
      </c>
      <c r="L210" s="4" t="inlineStr">
        <is>
          <t>N/A</t>
        </is>
      </c>
      <c r="M210" s="4" t="inlineStr">
        <is>
          <t>N/A</t>
        </is>
      </c>
      <c r="N210" s="4" t="inlineStr">
        <is>
          <t>N/A</t>
        </is>
      </c>
      <c r="O210" s="4" t="inlineStr">
        <is>
          <t>N/A</t>
        </is>
      </c>
      <c r="P210" s="4" t="inlineStr">
        <is>
          <t>N/A</t>
        </is>
      </c>
      <c r="Q210" s="4" t="inlineStr">
        <is>
          <t>N/A</t>
        </is>
      </c>
      <c r="R210" s="8" t="n">
        <v>46254.7739975</v>
      </c>
      <c r="S210" s="4" t="inlineStr">
        <is>
          <t>3.0.0</t>
        </is>
      </c>
      <c r="T210" s="4" t="inlineStr">
        <is>
          <t>1.8</t>
        </is>
      </c>
    </row>
    <row r="211" customFormat="1" s="31">
      <c r="A211" s="26" t="inlineStr">
        <is>
          <t>Grizzly XL YO</t>
        </is>
      </c>
      <c r="B211" s="26" t="inlineStr">
        <is>
          <t>Master Model G10 Grizzly XL Relapse_TwoAge_B05</t>
        </is>
      </c>
      <c r="C211" s="26" t="inlineStr">
        <is>
          <t>JAGS_Male_2000</t>
        </is>
      </c>
      <c r="D211" s="27" t="n">
        <v>0.05</v>
      </c>
      <c r="E211" s="26" t="inlineStr">
        <is>
          <t>Variable</t>
        </is>
      </c>
      <c r="F211" s="26" t="inlineStr">
        <is>
          <t>Smoking initiation and cessation variable</t>
        </is>
      </c>
      <c r="G211" s="26" t="inlineStr">
        <is>
          <t>68 - 72</t>
        </is>
      </c>
      <c r="H211" s="26" t="inlineStr">
        <is>
          <t>DIFF_ALL</t>
        </is>
      </c>
      <c r="I211" s="28" t="n">
        <v>728.935081</v>
      </c>
      <c r="J211" s="29" t="n">
        <v>0.01</v>
      </c>
      <c r="K211" s="29" t="n">
        <v>0.009999999776482582</v>
      </c>
      <c r="L211" s="26" t="inlineStr">
        <is>
          <t>N/A</t>
        </is>
      </c>
      <c r="M211" s="26" t="inlineStr">
        <is>
          <t>N/A</t>
        </is>
      </c>
      <c r="N211" s="26" t="inlineStr">
        <is>
          <t>N/A</t>
        </is>
      </c>
      <c r="O211" s="26" t="inlineStr">
        <is>
          <t>N/A</t>
        </is>
      </c>
      <c r="P211" s="26" t="inlineStr">
        <is>
          <t>N/A</t>
        </is>
      </c>
      <c r="Q211" s="26" t="inlineStr">
        <is>
          <t>N/A</t>
        </is>
      </c>
      <c r="R211" s="30" t="n">
        <v>46254.77414543981</v>
      </c>
      <c r="S211" s="26" t="inlineStr">
        <is>
          <t>3.0.0</t>
        </is>
      </c>
      <c r="T211" s="26" t="inlineStr">
        <is>
          <t>1.8</t>
        </is>
      </c>
    </row>
    <row r="212" customFormat="1" s="31">
      <c r="A212" s="26" t="inlineStr">
        <is>
          <t>Grizzly XL YO</t>
        </is>
      </c>
      <c r="B212" s="26" t="inlineStr">
        <is>
          <t>Master Model G10 Grizzly XL Relapse_TwoAge_B05</t>
        </is>
      </c>
      <c r="C212" s="26" t="inlineStr">
        <is>
          <t>JAGS_Male_2000</t>
        </is>
      </c>
      <c r="D212" s="27" t="n">
        <v>0.05</v>
      </c>
      <c r="E212" s="26" t="inlineStr">
        <is>
          <t>Variable</t>
        </is>
      </c>
      <c r="F212" s="26" t="inlineStr">
        <is>
          <t>Smoking initiation and cessation variable</t>
        </is>
      </c>
      <c r="G212" s="26" t="inlineStr">
        <is>
          <t>68 - 72</t>
        </is>
      </c>
      <c r="H212" s="26" t="inlineStr">
        <is>
          <t>ALL.T</t>
        </is>
      </c>
      <c r="I212" s="28" t="n">
        <v>679359.5777350001</v>
      </c>
      <c r="J212" s="29" t="n">
        <v>0.01</v>
      </c>
      <c r="K212" s="29" t="n">
        <v>0.009999999776482582</v>
      </c>
      <c r="L212" s="26" t="inlineStr">
        <is>
          <t>N/A</t>
        </is>
      </c>
      <c r="M212" s="26" t="inlineStr">
        <is>
          <t>N/A</t>
        </is>
      </c>
      <c r="N212" s="26" t="inlineStr">
        <is>
          <t>N/A</t>
        </is>
      </c>
      <c r="O212" s="26" t="inlineStr">
        <is>
          <t>N/A</t>
        </is>
      </c>
      <c r="P212" s="26" t="inlineStr">
        <is>
          <t>N/A</t>
        </is>
      </c>
      <c r="Q212" s="26" t="inlineStr">
        <is>
          <t>N/A</t>
        </is>
      </c>
      <c r="R212" s="30" t="n">
        <v>46254.77414543981</v>
      </c>
      <c r="S212" s="26" t="inlineStr">
        <is>
          <t>3.0.0</t>
        </is>
      </c>
      <c r="T212" s="26" t="inlineStr">
        <is>
          <t>1.8</t>
        </is>
      </c>
    </row>
    <row r="213" customFormat="1" s="31">
      <c r="A213" s="26" t="inlineStr">
        <is>
          <t>Grizzly XL YO</t>
        </is>
      </c>
      <c r="B213" s="26" t="inlineStr">
        <is>
          <t>Master Model G10 Grizzly XL Relapse_TwoAge_B05</t>
        </is>
      </c>
      <c r="C213" s="26" t="inlineStr">
        <is>
          <t>JAGS_Male_2000</t>
        </is>
      </c>
      <c r="D213" s="27" t="n">
        <v>0.1</v>
      </c>
      <c r="E213" s="26" t="inlineStr">
        <is>
          <t>Variable</t>
        </is>
      </c>
      <c r="F213" s="26" t="inlineStr">
        <is>
          <t>Smoking initiation and cessation variable</t>
        </is>
      </c>
      <c r="G213" s="26" t="inlineStr">
        <is>
          <t>68 - 72</t>
        </is>
      </c>
      <c r="H213" s="26" t="inlineStr">
        <is>
          <t>DIFF_ALL</t>
        </is>
      </c>
      <c r="I213" s="28" t="n">
        <v>670.805806</v>
      </c>
      <c r="J213" s="29" t="n">
        <v>0.01</v>
      </c>
      <c r="K213" s="29" t="n">
        <v>0.009999999776482582</v>
      </c>
      <c r="L213" s="26" t="inlineStr">
        <is>
          <t>N/A</t>
        </is>
      </c>
      <c r="M213" s="26" t="inlineStr">
        <is>
          <t>N/A</t>
        </is>
      </c>
      <c r="N213" s="26" t="inlineStr">
        <is>
          <t>N/A</t>
        </is>
      </c>
      <c r="O213" s="26" t="inlineStr">
        <is>
          <t>N/A</t>
        </is>
      </c>
      <c r="P213" s="26" t="inlineStr">
        <is>
          <t>N/A</t>
        </is>
      </c>
      <c r="Q213" s="26" t="inlineStr">
        <is>
          <t>N/A</t>
        </is>
      </c>
      <c r="R213" s="30" t="n">
        <v>46254.7741503588</v>
      </c>
      <c r="S213" s="26" t="inlineStr">
        <is>
          <t>3.0.0</t>
        </is>
      </c>
      <c r="T213" s="26" t="inlineStr">
        <is>
          <t>1.8</t>
        </is>
      </c>
    </row>
    <row r="214" customFormat="1" s="31">
      <c r="A214" s="26" t="inlineStr">
        <is>
          <t>Grizzly XL YO</t>
        </is>
      </c>
      <c r="B214" s="26" t="inlineStr">
        <is>
          <t>Master Model G10 Grizzly XL Relapse_TwoAge_B05</t>
        </is>
      </c>
      <c r="C214" s="26" t="inlineStr">
        <is>
          <t>JAGS_Male_2000</t>
        </is>
      </c>
      <c r="D214" s="27" t="n">
        <v>0.1</v>
      </c>
      <c r="E214" s="26" t="inlineStr">
        <is>
          <t>Variable</t>
        </is>
      </c>
      <c r="F214" s="26" t="inlineStr">
        <is>
          <t>Smoking initiation and cessation variable</t>
        </is>
      </c>
      <c r="G214" s="26" t="inlineStr">
        <is>
          <t>68 - 72</t>
        </is>
      </c>
      <c r="H214" s="26" t="inlineStr">
        <is>
          <t>ALL.T</t>
        </is>
      </c>
      <c r="I214" s="28" t="n">
        <v>679301.44846</v>
      </c>
      <c r="J214" s="29" t="n">
        <v>0.01</v>
      </c>
      <c r="K214" s="29" t="n">
        <v>0.009999999776482582</v>
      </c>
      <c r="L214" s="26" t="inlineStr">
        <is>
          <t>N/A</t>
        </is>
      </c>
      <c r="M214" s="26" t="inlineStr">
        <is>
          <t>N/A</t>
        </is>
      </c>
      <c r="N214" s="26" t="inlineStr">
        <is>
          <t>N/A</t>
        </is>
      </c>
      <c r="O214" s="26" t="inlineStr">
        <is>
          <t>N/A</t>
        </is>
      </c>
      <c r="P214" s="26" t="inlineStr">
        <is>
          <t>N/A</t>
        </is>
      </c>
      <c r="Q214" s="26" t="inlineStr">
        <is>
          <t>N/A</t>
        </is>
      </c>
      <c r="R214" s="30" t="n">
        <v>46254.7741503588</v>
      </c>
      <c r="S214" s="26" t="inlineStr">
        <is>
          <t>3.0.0</t>
        </is>
      </c>
      <c r="T214" s="26" t="inlineStr">
        <is>
          <t>1.8</t>
        </is>
      </c>
    </row>
    <row r="215" customFormat="1" s="31">
      <c r="A215" s="26" t="inlineStr">
        <is>
          <t>Grizzly XL YO</t>
        </is>
      </c>
      <c r="B215" s="26" t="inlineStr">
        <is>
          <t>Master Model G10 Grizzly XL Relapse_TwoAge_B05</t>
        </is>
      </c>
      <c r="C215" s="26" t="inlineStr">
        <is>
          <t>JAGS_Female_2000</t>
        </is>
      </c>
      <c r="D215" s="27" t="n">
        <v>0.05</v>
      </c>
      <c r="E215" s="26" t="inlineStr">
        <is>
          <t>Variable</t>
        </is>
      </c>
      <c r="F215" s="26" t="inlineStr">
        <is>
          <t>Smoking initiation and cessation variable</t>
        </is>
      </c>
      <c r="G215" s="26" t="inlineStr">
        <is>
          <t>68 - 72</t>
        </is>
      </c>
      <c r="H215" s="26" t="inlineStr">
        <is>
          <t>DIFF_ALL</t>
        </is>
      </c>
      <c r="I215" s="28" t="n">
        <v>606.07008</v>
      </c>
      <c r="J215" s="29" t="n">
        <v>0.01</v>
      </c>
      <c r="K215" s="29" t="n">
        <v>0.009999999776482582</v>
      </c>
      <c r="L215" s="26" t="inlineStr">
        <is>
          <t>N/A</t>
        </is>
      </c>
      <c r="M215" s="26" t="inlineStr">
        <is>
          <t>N/A</t>
        </is>
      </c>
      <c r="N215" s="26" t="inlineStr">
        <is>
          <t>N/A</t>
        </is>
      </c>
      <c r="O215" s="26" t="inlineStr">
        <is>
          <t>N/A</t>
        </is>
      </c>
      <c r="P215" s="26" t="inlineStr">
        <is>
          <t>N/A</t>
        </is>
      </c>
      <c r="Q215" s="26" t="inlineStr">
        <is>
          <t>N/A</t>
        </is>
      </c>
      <c r="R215" s="30" t="n">
        <v>46254.77415885417</v>
      </c>
      <c r="S215" s="26" t="inlineStr">
        <is>
          <t>3.0.0</t>
        </is>
      </c>
      <c r="T215" s="26" t="inlineStr">
        <is>
          <t>1.8</t>
        </is>
      </c>
    </row>
    <row r="216" customFormat="1" s="31">
      <c r="A216" s="26" t="inlineStr">
        <is>
          <t>Grizzly XL YO</t>
        </is>
      </c>
      <c r="B216" s="26" t="inlineStr">
        <is>
          <t>Master Model G10 Grizzly XL Relapse_TwoAge_B05</t>
        </is>
      </c>
      <c r="C216" s="26" t="inlineStr">
        <is>
          <t>JAGS_Female_2000</t>
        </is>
      </c>
      <c r="D216" s="27" t="n">
        <v>0.05</v>
      </c>
      <c r="E216" s="26" t="inlineStr">
        <is>
          <t>Variable</t>
        </is>
      </c>
      <c r="F216" s="26" t="inlineStr">
        <is>
          <t>Smoking initiation and cessation variable</t>
        </is>
      </c>
      <c r="G216" s="26" t="inlineStr">
        <is>
          <t>68 - 72</t>
        </is>
      </c>
      <c r="H216" s="26" t="inlineStr">
        <is>
          <t>ALL.T</t>
        </is>
      </c>
      <c r="I216" s="28" t="n">
        <v>785455.530587</v>
      </c>
      <c r="J216" s="29" t="n">
        <v>0.01</v>
      </c>
      <c r="K216" s="29" t="n">
        <v>0.009999999776482582</v>
      </c>
      <c r="L216" s="26" t="inlineStr">
        <is>
          <t>N/A</t>
        </is>
      </c>
      <c r="M216" s="26" t="inlineStr">
        <is>
          <t>N/A</t>
        </is>
      </c>
      <c r="N216" s="26" t="inlineStr">
        <is>
          <t>N/A</t>
        </is>
      </c>
      <c r="O216" s="26" t="inlineStr">
        <is>
          <t>N/A</t>
        </is>
      </c>
      <c r="P216" s="26" t="inlineStr">
        <is>
          <t>N/A</t>
        </is>
      </c>
      <c r="Q216" s="26" t="inlineStr">
        <is>
          <t>N/A</t>
        </is>
      </c>
      <c r="R216" s="30" t="n">
        <v>46254.77415885417</v>
      </c>
      <c r="S216" s="26" t="inlineStr">
        <is>
          <t>3.0.0</t>
        </is>
      </c>
      <c r="T216" s="26" t="inlineStr">
        <is>
          <t>1.8</t>
        </is>
      </c>
    </row>
    <row r="217" customFormat="1" s="31">
      <c r="A217" s="26" t="inlineStr">
        <is>
          <t>Grizzly XL YO</t>
        </is>
      </c>
      <c r="B217" s="26" t="inlineStr">
        <is>
          <t>Master Model G10 Grizzly XL Relapse_TwoAge_B05</t>
        </is>
      </c>
      <c r="C217" s="26" t="inlineStr">
        <is>
          <t>JAGS_Female_2000</t>
        </is>
      </c>
      <c r="D217" s="27" t="n">
        <v>0.1</v>
      </c>
      <c r="E217" s="26" t="inlineStr">
        <is>
          <t>Variable</t>
        </is>
      </c>
      <c r="F217" s="26" t="inlineStr">
        <is>
          <t>Smoking initiation and cessation variable</t>
        </is>
      </c>
      <c r="G217" s="26" t="inlineStr">
        <is>
          <t>68 - 72</t>
        </is>
      </c>
      <c r="H217" s="26" t="inlineStr">
        <is>
          <t>DIFF_ALL</t>
        </is>
      </c>
      <c r="I217" s="28" t="n">
        <v>559.288678</v>
      </c>
      <c r="J217" s="29" t="n">
        <v>0.01</v>
      </c>
      <c r="K217" s="29" t="n">
        <v>0.009999999776482582</v>
      </c>
      <c r="L217" s="26" t="inlineStr">
        <is>
          <t>N/A</t>
        </is>
      </c>
      <c r="M217" s="26" t="inlineStr">
        <is>
          <t>N/A</t>
        </is>
      </c>
      <c r="N217" s="26" t="inlineStr">
        <is>
          <t>N/A</t>
        </is>
      </c>
      <c r="O217" s="26" t="inlineStr">
        <is>
          <t>N/A</t>
        </is>
      </c>
      <c r="P217" s="26" t="inlineStr">
        <is>
          <t>N/A</t>
        </is>
      </c>
      <c r="Q217" s="26" t="inlineStr">
        <is>
          <t>N/A</t>
        </is>
      </c>
      <c r="R217" s="30" t="n">
        <v>46254.77416025463</v>
      </c>
      <c r="S217" s="26" t="inlineStr">
        <is>
          <t>3.0.0</t>
        </is>
      </c>
      <c r="T217" s="26" t="inlineStr">
        <is>
          <t>1.8</t>
        </is>
      </c>
    </row>
    <row r="218" customFormat="1" s="31">
      <c r="A218" s="26" t="inlineStr">
        <is>
          <t>Grizzly XL YO</t>
        </is>
      </c>
      <c r="B218" s="26" t="inlineStr">
        <is>
          <t>Master Model G10 Grizzly XL Relapse_TwoAge_B05</t>
        </is>
      </c>
      <c r="C218" s="26" t="inlineStr">
        <is>
          <t>JAGS_Female_2000</t>
        </is>
      </c>
      <c r="D218" s="27" t="n">
        <v>0.1</v>
      </c>
      <c r="E218" s="26" t="inlineStr">
        <is>
          <t>Variable</t>
        </is>
      </c>
      <c r="F218" s="26" t="inlineStr">
        <is>
          <t>Smoking initiation and cessation variable</t>
        </is>
      </c>
      <c r="G218" s="26" t="inlineStr">
        <is>
          <t>68 - 72</t>
        </is>
      </c>
      <c r="H218" s="26" t="inlineStr">
        <is>
          <t>ALL.T</t>
        </is>
      </c>
      <c r="I218" s="28" t="n">
        <v>785408.749186</v>
      </c>
      <c r="J218" s="29" t="n">
        <v>0.01</v>
      </c>
      <c r="K218" s="29" t="n">
        <v>0.009999999776482582</v>
      </c>
      <c r="L218" s="26" t="inlineStr">
        <is>
          <t>N/A</t>
        </is>
      </c>
      <c r="M218" s="26" t="inlineStr">
        <is>
          <t>N/A</t>
        </is>
      </c>
      <c r="N218" s="26" t="inlineStr">
        <is>
          <t>N/A</t>
        </is>
      </c>
      <c r="O218" s="26" t="inlineStr">
        <is>
          <t>N/A</t>
        </is>
      </c>
      <c r="P218" s="26" t="inlineStr">
        <is>
          <t>N/A</t>
        </is>
      </c>
      <c r="Q218" s="26" t="inlineStr">
        <is>
          <t>N/A</t>
        </is>
      </c>
      <c r="R218" s="30" t="n">
        <v>46254.77416025463</v>
      </c>
      <c r="S218" s="26" t="inlineStr">
        <is>
          <t>3.0.0</t>
        </is>
      </c>
      <c r="T218" s="26" t="inlineStr">
        <is>
          <t>1.8</t>
        </is>
      </c>
    </row>
    <row r="219">
      <c r="A219" s="4" t="inlineStr">
        <is>
          <t>Grizzly XL YO</t>
        </is>
      </c>
      <c r="B219" s="4" t="inlineStr">
        <is>
          <t>Master Model G10 Grizzly XL Relapse_TwoAge_B06</t>
        </is>
      </c>
      <c r="C219" s="4" t="inlineStr">
        <is>
          <t>JAGS_Male_2000</t>
        </is>
      </c>
      <c r="D219" s="5" t="n">
        <v>0.05</v>
      </c>
      <c r="E219" s="4" t="inlineStr">
        <is>
          <t>Variable</t>
        </is>
      </c>
      <c r="F219" s="4" t="inlineStr">
        <is>
          <t>Smoking initiation and cessation variable</t>
        </is>
      </c>
      <c r="G219" s="4" t="inlineStr">
        <is>
          <t>68 - 72</t>
        </is>
      </c>
      <c r="H219" s="4" t="inlineStr">
        <is>
          <t>DIFF_ALL</t>
        </is>
      </c>
      <c r="I219" s="6" t="n">
        <v>491.993999</v>
      </c>
      <c r="J219" s="7" t="n">
        <v>0.01</v>
      </c>
      <c r="K219" s="7" t="n">
        <v>0.009999999776482582</v>
      </c>
      <c r="L219" s="4" t="inlineStr">
        <is>
          <t>N/A</t>
        </is>
      </c>
      <c r="M219" s="4" t="inlineStr">
        <is>
          <t>N/A</t>
        </is>
      </c>
      <c r="N219" s="4" t="inlineStr">
        <is>
          <t>N/A</t>
        </is>
      </c>
      <c r="O219" s="4" t="inlineStr">
        <is>
          <t>N/A</t>
        </is>
      </c>
      <c r="P219" s="4" t="inlineStr">
        <is>
          <t>N/A</t>
        </is>
      </c>
      <c r="Q219" s="4" t="inlineStr">
        <is>
          <t>N/A</t>
        </is>
      </c>
      <c r="R219" s="8" t="n">
        <v>46254.77463037037</v>
      </c>
      <c r="S219" s="4" t="inlineStr">
        <is>
          <t>3.0.0</t>
        </is>
      </c>
      <c r="T219" s="4" t="inlineStr">
        <is>
          <t>1.8</t>
        </is>
      </c>
    </row>
    <row r="220">
      <c r="A220" s="4" t="inlineStr">
        <is>
          <t>Grizzly XL YO</t>
        </is>
      </c>
      <c r="B220" s="4" t="inlineStr">
        <is>
          <t>Master Model G10 Grizzly XL Relapse_TwoAge_B06</t>
        </is>
      </c>
      <c r="C220" s="4" t="inlineStr">
        <is>
          <t>JAGS_Male_2000</t>
        </is>
      </c>
      <c r="D220" s="5" t="n">
        <v>0.05</v>
      </c>
      <c r="E220" s="4" t="inlineStr">
        <is>
          <t>Variable</t>
        </is>
      </c>
      <c r="F220" s="4" t="inlineStr">
        <is>
          <t>Smoking initiation and cessation variable</t>
        </is>
      </c>
      <c r="G220" s="4" t="inlineStr">
        <is>
          <t>68 - 72</t>
        </is>
      </c>
      <c r="H220" s="4" t="inlineStr">
        <is>
          <t>ALL.T</t>
        </is>
      </c>
      <c r="I220" s="6" t="n">
        <v>679156.1300060001</v>
      </c>
      <c r="J220" s="7" t="n">
        <v>0.01</v>
      </c>
      <c r="K220" s="7" t="n">
        <v>0.009999999776482582</v>
      </c>
      <c r="L220" s="4" t="inlineStr">
        <is>
          <t>N/A</t>
        </is>
      </c>
      <c r="M220" s="4" t="inlineStr">
        <is>
          <t>N/A</t>
        </is>
      </c>
      <c r="N220" s="4" t="inlineStr">
        <is>
          <t>N/A</t>
        </is>
      </c>
      <c r="O220" s="4" t="inlineStr">
        <is>
          <t>N/A</t>
        </is>
      </c>
      <c r="P220" s="4" t="inlineStr">
        <is>
          <t>N/A</t>
        </is>
      </c>
      <c r="Q220" s="4" t="inlineStr">
        <is>
          <t>N/A</t>
        </is>
      </c>
      <c r="R220" s="8" t="n">
        <v>46254.77463037037</v>
      </c>
      <c r="S220" s="4" t="inlineStr">
        <is>
          <t>3.0.0</t>
        </is>
      </c>
      <c r="T220" s="4" t="inlineStr">
        <is>
          <t>1.8</t>
        </is>
      </c>
    </row>
    <row r="221">
      <c r="A221" s="4" t="inlineStr">
        <is>
          <t>Grizzly XL YO</t>
        </is>
      </c>
      <c r="B221" s="4" t="inlineStr">
        <is>
          <t>Master Model G10 Grizzly XL Relapse_TwoAge_B06</t>
        </is>
      </c>
      <c r="C221" s="4" t="inlineStr">
        <is>
          <t>JAGS_Male_2000</t>
        </is>
      </c>
      <c r="D221" s="5" t="n">
        <v>0.1</v>
      </c>
      <c r="E221" s="4" t="inlineStr">
        <is>
          <t>Variable</t>
        </is>
      </c>
      <c r="F221" s="4" t="inlineStr">
        <is>
          <t>Smoking initiation and cessation variable</t>
        </is>
      </c>
      <c r="G221" s="4" t="inlineStr">
        <is>
          <t>68 - 72</t>
        </is>
      </c>
      <c r="H221" s="4" t="inlineStr">
        <is>
          <t>DIFF_ALL</t>
        </is>
      </c>
      <c r="I221" s="6" t="n">
        <v>453.831205</v>
      </c>
      <c r="J221" s="7" t="n">
        <v>0.01</v>
      </c>
      <c r="K221" s="7" t="n">
        <v>0.009999999776482582</v>
      </c>
      <c r="L221" s="4" t="inlineStr">
        <is>
          <t>N/A</t>
        </is>
      </c>
      <c r="M221" s="4" t="inlineStr">
        <is>
          <t>N/A</t>
        </is>
      </c>
      <c r="N221" s="4" t="inlineStr">
        <is>
          <t>N/A</t>
        </is>
      </c>
      <c r="O221" s="4" t="inlineStr">
        <is>
          <t>N/A</t>
        </is>
      </c>
      <c r="P221" s="4" t="inlineStr">
        <is>
          <t>N/A</t>
        </is>
      </c>
      <c r="Q221" s="4" t="inlineStr">
        <is>
          <t>N/A</t>
        </is>
      </c>
      <c r="R221" s="8" t="n">
        <v>46254.77463086806</v>
      </c>
      <c r="S221" s="4" t="inlineStr">
        <is>
          <t>3.0.0</t>
        </is>
      </c>
      <c r="T221" s="4" t="inlineStr">
        <is>
          <t>1.8</t>
        </is>
      </c>
    </row>
    <row r="222">
      <c r="A222" s="4" t="inlineStr">
        <is>
          <t>Grizzly XL YO</t>
        </is>
      </c>
      <c r="B222" s="4" t="inlineStr">
        <is>
          <t>Master Model G10 Grizzly XL Relapse_TwoAge_B06</t>
        </is>
      </c>
      <c r="C222" s="4" t="inlineStr">
        <is>
          <t>JAGS_Male_2000</t>
        </is>
      </c>
      <c r="D222" s="5" t="n">
        <v>0.1</v>
      </c>
      <c r="E222" s="4" t="inlineStr">
        <is>
          <t>Variable</t>
        </is>
      </c>
      <c r="F222" s="4" t="inlineStr">
        <is>
          <t>Smoking initiation and cessation variable</t>
        </is>
      </c>
      <c r="G222" s="4" t="inlineStr">
        <is>
          <t>68 - 72</t>
        </is>
      </c>
      <c r="H222" s="4" t="inlineStr">
        <is>
          <t>ALL.T</t>
        </is>
      </c>
      <c r="I222" s="6" t="n">
        <v>679117.967211</v>
      </c>
      <c r="J222" s="7" t="n">
        <v>0.01</v>
      </c>
      <c r="K222" s="7" t="n">
        <v>0.009999999776482582</v>
      </c>
      <c r="L222" s="4" t="inlineStr">
        <is>
          <t>N/A</t>
        </is>
      </c>
      <c r="M222" s="4" t="inlineStr">
        <is>
          <t>N/A</t>
        </is>
      </c>
      <c r="N222" s="4" t="inlineStr">
        <is>
          <t>N/A</t>
        </is>
      </c>
      <c r="O222" s="4" t="inlineStr">
        <is>
          <t>N/A</t>
        </is>
      </c>
      <c r="P222" s="4" t="inlineStr">
        <is>
          <t>N/A</t>
        </is>
      </c>
      <c r="Q222" s="4" t="inlineStr">
        <is>
          <t>N/A</t>
        </is>
      </c>
      <c r="R222" s="8" t="n">
        <v>46254.77463086806</v>
      </c>
      <c r="S222" s="4" t="inlineStr">
        <is>
          <t>3.0.0</t>
        </is>
      </c>
      <c r="T222" s="4" t="inlineStr">
        <is>
          <t>1.8</t>
        </is>
      </c>
    </row>
    <row r="223">
      <c r="A223" s="4" t="inlineStr">
        <is>
          <t>Grizzly XL YO</t>
        </is>
      </c>
      <c r="B223" s="4" t="inlineStr">
        <is>
          <t>Master Model G10 Grizzly XL Relapse_TwoAge_B06</t>
        </is>
      </c>
      <c r="C223" s="4" t="inlineStr">
        <is>
          <t>JAGS_Female_2000</t>
        </is>
      </c>
      <c r="D223" s="5" t="n">
        <v>0.05</v>
      </c>
      <c r="E223" s="4" t="inlineStr">
        <is>
          <t>Variable</t>
        </is>
      </c>
      <c r="F223" s="4" t="inlineStr">
        <is>
          <t>Smoking initiation and cessation variable</t>
        </is>
      </c>
      <c r="G223" s="4" t="inlineStr">
        <is>
          <t>68 - 72</t>
        </is>
      </c>
      <c r="H223" s="4" t="inlineStr">
        <is>
          <t>DIFF_ALL</t>
        </is>
      </c>
      <c r="I223" s="6" t="n">
        <v>419.631702</v>
      </c>
      <c r="J223" s="7" t="n">
        <v>0.01</v>
      </c>
      <c r="K223" s="7" t="n">
        <v>0.009999999776482582</v>
      </c>
      <c r="L223" s="4" t="inlineStr">
        <is>
          <t>N/A</t>
        </is>
      </c>
      <c r="M223" s="4" t="inlineStr">
        <is>
          <t>N/A</t>
        </is>
      </c>
      <c r="N223" s="4" t="inlineStr">
        <is>
          <t>N/A</t>
        </is>
      </c>
      <c r="O223" s="4" t="inlineStr">
        <is>
          <t>N/A</t>
        </is>
      </c>
      <c r="P223" s="4" t="inlineStr">
        <is>
          <t>N/A</t>
        </is>
      </c>
      <c r="Q223" s="4" t="inlineStr">
        <is>
          <t>N/A</t>
        </is>
      </c>
      <c r="R223" s="8" t="n">
        <v>46254.7746313426</v>
      </c>
      <c r="S223" s="4" t="inlineStr">
        <is>
          <t>3.0.0</t>
        </is>
      </c>
      <c r="T223" s="4" t="inlineStr">
        <is>
          <t>1.8</t>
        </is>
      </c>
    </row>
    <row r="224">
      <c r="A224" s="4" t="inlineStr">
        <is>
          <t>Grizzly XL YO</t>
        </is>
      </c>
      <c r="B224" s="4" t="inlineStr">
        <is>
          <t>Master Model G10 Grizzly XL Relapse_TwoAge_B06</t>
        </is>
      </c>
      <c r="C224" s="4" t="inlineStr">
        <is>
          <t>JAGS_Female_2000</t>
        </is>
      </c>
      <c r="D224" s="5" t="n">
        <v>0.05</v>
      </c>
      <c r="E224" s="4" t="inlineStr">
        <is>
          <t>Variable</t>
        </is>
      </c>
      <c r="F224" s="4" t="inlineStr">
        <is>
          <t>Smoking initiation and cessation variable</t>
        </is>
      </c>
      <c r="G224" s="4" t="inlineStr">
        <is>
          <t>68 - 72</t>
        </is>
      </c>
      <c r="H224" s="4" t="inlineStr">
        <is>
          <t>ALL.T</t>
        </is>
      </c>
      <c r="I224" s="6" t="n">
        <v>785294.528749</v>
      </c>
      <c r="J224" s="7" t="n">
        <v>0.01</v>
      </c>
      <c r="K224" s="7" t="n">
        <v>0.009999999776482582</v>
      </c>
      <c r="L224" s="4" t="inlineStr">
        <is>
          <t>N/A</t>
        </is>
      </c>
      <c r="M224" s="4" t="inlineStr">
        <is>
          <t>N/A</t>
        </is>
      </c>
      <c r="N224" s="4" t="inlineStr">
        <is>
          <t>N/A</t>
        </is>
      </c>
      <c r="O224" s="4" t="inlineStr">
        <is>
          <t>N/A</t>
        </is>
      </c>
      <c r="P224" s="4" t="inlineStr">
        <is>
          <t>N/A</t>
        </is>
      </c>
      <c r="Q224" s="4" t="inlineStr">
        <is>
          <t>N/A</t>
        </is>
      </c>
      <c r="R224" s="8" t="n">
        <v>46254.7746313426</v>
      </c>
      <c r="S224" s="4" t="inlineStr">
        <is>
          <t>3.0.0</t>
        </is>
      </c>
      <c r="T224" s="4" t="inlineStr">
        <is>
          <t>1.8</t>
        </is>
      </c>
    </row>
    <row r="225">
      <c r="A225" s="4" t="inlineStr">
        <is>
          <t>Grizzly XL YO</t>
        </is>
      </c>
      <c r="B225" s="4" t="inlineStr">
        <is>
          <t>Master Model G10 Grizzly XL Relapse_TwoAge_B06</t>
        </is>
      </c>
      <c r="C225" s="4" t="inlineStr">
        <is>
          <t>JAGS_Female_2000</t>
        </is>
      </c>
      <c r="D225" s="5" t="n">
        <v>0.1</v>
      </c>
      <c r="E225" s="4" t="inlineStr">
        <is>
          <t>Variable</t>
        </is>
      </c>
      <c r="F225" s="4" t="inlineStr">
        <is>
          <t>Smoking initiation and cessation variable</t>
        </is>
      </c>
      <c r="G225" s="4" t="inlineStr">
        <is>
          <t>68 - 72</t>
        </is>
      </c>
      <c r="H225" s="4" t="inlineStr">
        <is>
          <t>DIFF_ALL</t>
        </is>
      </c>
      <c r="I225" s="6" t="n">
        <v>387.959711</v>
      </c>
      <c r="J225" s="7" t="n">
        <v>0.01</v>
      </c>
      <c r="K225" s="7" t="n">
        <v>0.009999999776482582</v>
      </c>
      <c r="L225" s="4" t="inlineStr">
        <is>
          <t>N/A</t>
        </is>
      </c>
      <c r="M225" s="4" t="inlineStr">
        <is>
          <t>N/A</t>
        </is>
      </c>
      <c r="N225" s="4" t="inlineStr">
        <is>
          <t>N/A</t>
        </is>
      </c>
      <c r="O225" s="4" t="inlineStr">
        <is>
          <t>N/A</t>
        </is>
      </c>
      <c r="P225" s="4" t="inlineStr">
        <is>
          <t>N/A</t>
        </is>
      </c>
      <c r="Q225" s="4" t="inlineStr">
        <is>
          <t>N/A</t>
        </is>
      </c>
      <c r="R225" s="8" t="n">
        <v>46254.77463186342</v>
      </c>
      <c r="S225" s="4" t="inlineStr">
        <is>
          <t>3.0.0</t>
        </is>
      </c>
      <c r="T225" s="4" t="inlineStr">
        <is>
          <t>1.8</t>
        </is>
      </c>
    </row>
    <row r="226">
      <c r="A226" s="4" t="inlineStr">
        <is>
          <t>Grizzly XL YO</t>
        </is>
      </c>
      <c r="B226" s="4" t="inlineStr">
        <is>
          <t>Master Model G10 Grizzly XL Relapse_TwoAge_B06</t>
        </is>
      </c>
      <c r="C226" s="4" t="inlineStr">
        <is>
          <t>JAGS_Female_2000</t>
        </is>
      </c>
      <c r="D226" s="5" t="n">
        <v>0.1</v>
      </c>
      <c r="E226" s="4" t="inlineStr">
        <is>
          <t>Variable</t>
        </is>
      </c>
      <c r="F226" s="4" t="inlineStr">
        <is>
          <t>Smoking initiation and cessation variable</t>
        </is>
      </c>
      <c r="G226" s="4" t="inlineStr">
        <is>
          <t>68 - 72</t>
        </is>
      </c>
      <c r="H226" s="4" t="inlineStr">
        <is>
          <t>ALL.T</t>
        </is>
      </c>
      <c r="I226" s="6" t="n">
        <v>785262.856758</v>
      </c>
      <c r="J226" s="7" t="n">
        <v>0.01</v>
      </c>
      <c r="K226" s="7" t="n">
        <v>0.009999999776482582</v>
      </c>
      <c r="L226" s="4" t="inlineStr">
        <is>
          <t>N/A</t>
        </is>
      </c>
      <c r="M226" s="4" t="inlineStr">
        <is>
          <t>N/A</t>
        </is>
      </c>
      <c r="N226" s="4" t="inlineStr">
        <is>
          <t>N/A</t>
        </is>
      </c>
      <c r="O226" s="4" t="inlineStr">
        <is>
          <t>N/A</t>
        </is>
      </c>
      <c r="P226" s="4" t="inlineStr">
        <is>
          <t>N/A</t>
        </is>
      </c>
      <c r="Q226" s="4" t="inlineStr">
        <is>
          <t>N/A</t>
        </is>
      </c>
      <c r="R226" s="8" t="n">
        <v>46254.77463186342</v>
      </c>
      <c r="S226" s="4" t="inlineStr">
        <is>
          <t>3.0.0</t>
        </is>
      </c>
      <c r="T226" s="4" t="inlineStr">
        <is>
          <t>1.8</t>
        </is>
      </c>
    </row>
    <row r="227">
      <c r="A227" s="4" t="inlineStr">
        <is>
          <t>Grizzly XL YO</t>
        </is>
      </c>
      <c r="B227" s="4" t="inlineStr">
        <is>
          <t>Master Model G10 Grizzly XL Relapse_TwoAge_B07</t>
        </is>
      </c>
      <c r="C227" s="4" t="inlineStr">
        <is>
          <t>JAGS_Male_2000</t>
        </is>
      </c>
      <c r="D227" s="5" t="n">
        <v>0.05</v>
      </c>
      <c r="E227" s="4" t="inlineStr">
        <is>
          <t>Variable</t>
        </is>
      </c>
      <c r="F227" s="4" t="inlineStr">
        <is>
          <t>Smoking initiation and cessation variable</t>
        </is>
      </c>
      <c r="G227" s="4" t="inlineStr">
        <is>
          <t>68 - 72</t>
        </is>
      </c>
      <c r="H227" s="4" t="inlineStr">
        <is>
          <t>DIFF_ALL</t>
        </is>
      </c>
      <c r="I227" s="6" t="n">
        <v>244.751253</v>
      </c>
      <c r="J227" s="7" t="n">
        <v>0.01</v>
      </c>
      <c r="K227" s="7" t="n">
        <v>0.009999999776482582</v>
      </c>
      <c r="L227" s="4" t="inlineStr">
        <is>
          <t>N/A</t>
        </is>
      </c>
      <c r="M227" s="4" t="inlineStr">
        <is>
          <t>N/A</t>
        </is>
      </c>
      <c r="N227" s="4" t="inlineStr">
        <is>
          <t>N/A</t>
        </is>
      </c>
      <c r="O227" s="4" t="inlineStr">
        <is>
          <t>N/A</t>
        </is>
      </c>
      <c r="P227" s="4" t="inlineStr">
        <is>
          <t>N/A</t>
        </is>
      </c>
      <c r="Q227" s="4" t="inlineStr">
        <is>
          <t>N/A</t>
        </is>
      </c>
      <c r="R227" s="8" t="n">
        <v>46254.77481103009</v>
      </c>
      <c r="S227" s="4" t="inlineStr">
        <is>
          <t>3.0.0</t>
        </is>
      </c>
      <c r="T227" s="4" t="inlineStr">
        <is>
          <t>1.8</t>
        </is>
      </c>
    </row>
    <row r="228">
      <c r="A228" s="4" t="inlineStr">
        <is>
          <t>Grizzly XL YO</t>
        </is>
      </c>
      <c r="B228" s="4" t="inlineStr">
        <is>
          <t>Master Model G10 Grizzly XL Relapse_TwoAge_B07</t>
        </is>
      </c>
      <c r="C228" s="4" t="inlineStr">
        <is>
          <t>JAGS_Male_2000</t>
        </is>
      </c>
      <c r="D228" s="5" t="n">
        <v>0.05</v>
      </c>
      <c r="E228" s="4" t="inlineStr">
        <is>
          <t>Variable</t>
        </is>
      </c>
      <c r="F228" s="4" t="inlineStr">
        <is>
          <t>Smoking initiation and cessation variable</t>
        </is>
      </c>
      <c r="G228" s="4" t="inlineStr">
        <is>
          <t>68 - 72</t>
        </is>
      </c>
      <c r="H228" s="4" t="inlineStr">
        <is>
          <t>ALL.T</t>
        </is>
      </c>
      <c r="I228" s="6" t="n">
        <v>678959.6894180001</v>
      </c>
      <c r="J228" s="7" t="n">
        <v>0.01</v>
      </c>
      <c r="K228" s="7" t="n">
        <v>0.009999999776482582</v>
      </c>
      <c r="L228" s="4" t="inlineStr">
        <is>
          <t>N/A</t>
        </is>
      </c>
      <c r="M228" s="4" t="inlineStr">
        <is>
          <t>N/A</t>
        </is>
      </c>
      <c r="N228" s="4" t="inlineStr">
        <is>
          <t>N/A</t>
        </is>
      </c>
      <c r="O228" s="4" t="inlineStr">
        <is>
          <t>N/A</t>
        </is>
      </c>
      <c r="P228" s="4" t="inlineStr">
        <is>
          <t>N/A</t>
        </is>
      </c>
      <c r="Q228" s="4" t="inlineStr">
        <is>
          <t>N/A</t>
        </is>
      </c>
      <c r="R228" s="8" t="n">
        <v>46254.77481103009</v>
      </c>
      <c r="S228" s="4" t="inlineStr">
        <is>
          <t>3.0.0</t>
        </is>
      </c>
      <c r="T228" s="4" t="inlineStr">
        <is>
          <t>1.8</t>
        </is>
      </c>
    </row>
    <row r="229">
      <c r="A229" s="4" t="inlineStr">
        <is>
          <t>Grizzly XL YO</t>
        </is>
      </c>
      <c r="B229" s="4" t="inlineStr">
        <is>
          <t>Master Model G10 Grizzly XL Relapse_TwoAge_B07</t>
        </is>
      </c>
      <c r="C229" s="4" t="inlineStr">
        <is>
          <t>JAGS_Male_2000</t>
        </is>
      </c>
      <c r="D229" s="5" t="n">
        <v>0.1</v>
      </c>
      <c r="E229" s="4" t="inlineStr">
        <is>
          <t>Variable</t>
        </is>
      </c>
      <c r="F229" s="4" t="inlineStr">
        <is>
          <t>Smoking initiation and cessation variable</t>
        </is>
      </c>
      <c r="G229" s="4" t="inlineStr">
        <is>
          <t>68 - 72</t>
        </is>
      </c>
      <c r="H229" s="4" t="inlineStr">
        <is>
          <t>DIFF_ALL</t>
        </is>
      </c>
      <c r="I229" s="6" t="n">
        <v>226.525272</v>
      </c>
      <c r="J229" s="7" t="n">
        <v>0.01</v>
      </c>
      <c r="K229" s="7" t="n">
        <v>0.009999999776482582</v>
      </c>
      <c r="L229" s="4" t="inlineStr">
        <is>
          <t>N/A</t>
        </is>
      </c>
      <c r="M229" s="4" t="inlineStr">
        <is>
          <t>N/A</t>
        </is>
      </c>
      <c r="N229" s="4" t="inlineStr">
        <is>
          <t>N/A</t>
        </is>
      </c>
      <c r="O229" s="4" t="inlineStr">
        <is>
          <t>N/A</t>
        </is>
      </c>
      <c r="P229" s="4" t="inlineStr">
        <is>
          <t>N/A</t>
        </is>
      </c>
      <c r="Q229" s="4" t="inlineStr">
        <is>
          <t>N/A</t>
        </is>
      </c>
      <c r="R229" s="8" t="n">
        <v>46254.77482989583</v>
      </c>
      <c r="S229" s="4" t="inlineStr">
        <is>
          <t>3.0.0</t>
        </is>
      </c>
      <c r="T229" s="4" t="inlineStr">
        <is>
          <t>1.8</t>
        </is>
      </c>
    </row>
    <row r="230">
      <c r="A230" s="4" t="inlineStr">
        <is>
          <t>Grizzly XL YO</t>
        </is>
      </c>
      <c r="B230" s="4" t="inlineStr">
        <is>
          <t>Master Model G10 Grizzly XL Relapse_TwoAge_B07</t>
        </is>
      </c>
      <c r="C230" s="4" t="inlineStr">
        <is>
          <t>JAGS_Male_2000</t>
        </is>
      </c>
      <c r="D230" s="5" t="n">
        <v>0.1</v>
      </c>
      <c r="E230" s="4" t="inlineStr">
        <is>
          <t>Variable</t>
        </is>
      </c>
      <c r="F230" s="4" t="inlineStr">
        <is>
          <t>Smoking initiation and cessation variable</t>
        </is>
      </c>
      <c r="G230" s="4" t="inlineStr">
        <is>
          <t>68 - 72</t>
        </is>
      </c>
      <c r="H230" s="4" t="inlineStr">
        <is>
          <t>ALL.T</t>
        </is>
      </c>
      <c r="I230" s="6" t="n">
        <v>678941.4634370001</v>
      </c>
      <c r="J230" s="7" t="n">
        <v>0.01</v>
      </c>
      <c r="K230" s="7" t="n">
        <v>0.009999999776482582</v>
      </c>
      <c r="L230" s="4" t="inlineStr">
        <is>
          <t>N/A</t>
        </is>
      </c>
      <c r="M230" s="4" t="inlineStr">
        <is>
          <t>N/A</t>
        </is>
      </c>
      <c r="N230" s="4" t="inlineStr">
        <is>
          <t>N/A</t>
        </is>
      </c>
      <c r="O230" s="4" t="inlineStr">
        <is>
          <t>N/A</t>
        </is>
      </c>
      <c r="P230" s="4" t="inlineStr">
        <is>
          <t>N/A</t>
        </is>
      </c>
      <c r="Q230" s="4" t="inlineStr">
        <is>
          <t>N/A</t>
        </is>
      </c>
      <c r="R230" s="8" t="n">
        <v>46254.77482989583</v>
      </c>
      <c r="S230" s="4" t="inlineStr">
        <is>
          <t>3.0.0</t>
        </is>
      </c>
      <c r="T230" s="4" t="inlineStr">
        <is>
          <t>1.8</t>
        </is>
      </c>
    </row>
    <row r="231">
      <c r="A231" s="4" t="inlineStr">
        <is>
          <t>Grizzly XL YO</t>
        </is>
      </c>
      <c r="B231" s="4" t="inlineStr">
        <is>
          <t>Master Model G10 Grizzly XL Relapse_TwoAge_B07</t>
        </is>
      </c>
      <c r="C231" s="4" t="inlineStr">
        <is>
          <t>JAGS_Female_2000</t>
        </is>
      </c>
      <c r="D231" s="5" t="n">
        <v>0.05</v>
      </c>
      <c r="E231" s="4" t="inlineStr">
        <is>
          <t>Variable</t>
        </is>
      </c>
      <c r="F231" s="4" t="inlineStr">
        <is>
          <t>Smoking initiation and cessation variable</t>
        </is>
      </c>
      <c r="G231" s="4" t="inlineStr">
        <is>
          <t>68 - 72</t>
        </is>
      </c>
      <c r="H231" s="4" t="inlineStr">
        <is>
          <t>DIFF_ALL</t>
        </is>
      </c>
      <c r="I231" s="6" t="n">
        <v>214.213432</v>
      </c>
      <c r="J231" s="7" t="n">
        <v>0.01</v>
      </c>
      <c r="K231" s="7" t="n">
        <v>0.009999999776482582</v>
      </c>
      <c r="L231" s="4" t="inlineStr">
        <is>
          <t>N/A</t>
        </is>
      </c>
      <c r="M231" s="4" t="inlineStr">
        <is>
          <t>N/A</t>
        </is>
      </c>
      <c r="N231" s="4" t="inlineStr">
        <is>
          <t>N/A</t>
        </is>
      </c>
      <c r="O231" s="4" t="inlineStr">
        <is>
          <t>N/A</t>
        </is>
      </c>
      <c r="P231" s="4" t="inlineStr">
        <is>
          <t>N/A</t>
        </is>
      </c>
      <c r="Q231" s="4" t="inlineStr">
        <is>
          <t>N/A</t>
        </is>
      </c>
      <c r="R231" s="8" t="n">
        <v>46254.77483905092</v>
      </c>
      <c r="S231" s="4" t="inlineStr">
        <is>
          <t>3.0.0</t>
        </is>
      </c>
      <c r="T231" s="4" t="inlineStr">
        <is>
          <t>1.8</t>
        </is>
      </c>
    </row>
    <row r="232">
      <c r="A232" s="4" t="inlineStr">
        <is>
          <t>Grizzly XL YO</t>
        </is>
      </c>
      <c r="B232" s="4" t="inlineStr">
        <is>
          <t>Master Model G10 Grizzly XL Relapse_TwoAge_B07</t>
        </is>
      </c>
      <c r="C232" s="4" t="inlineStr">
        <is>
          <t>JAGS_Female_2000</t>
        </is>
      </c>
      <c r="D232" s="5" t="n">
        <v>0.05</v>
      </c>
      <c r="E232" s="4" t="inlineStr">
        <is>
          <t>Variable</t>
        </is>
      </c>
      <c r="F232" s="4" t="inlineStr">
        <is>
          <t>Smoking initiation and cessation variable</t>
        </is>
      </c>
      <c r="G232" s="4" t="inlineStr">
        <is>
          <t>68 - 72</t>
        </is>
      </c>
      <c r="H232" s="4" t="inlineStr">
        <is>
          <t>ALL.T</t>
        </is>
      </c>
      <c r="I232" s="6" t="n">
        <v>785131.471491</v>
      </c>
      <c r="J232" s="7" t="n">
        <v>0.01</v>
      </c>
      <c r="K232" s="7" t="n">
        <v>0.009999999776482582</v>
      </c>
      <c r="L232" s="4" t="inlineStr">
        <is>
          <t>N/A</t>
        </is>
      </c>
      <c r="M232" s="4" t="inlineStr">
        <is>
          <t>N/A</t>
        </is>
      </c>
      <c r="N232" s="4" t="inlineStr">
        <is>
          <t>N/A</t>
        </is>
      </c>
      <c r="O232" s="4" t="inlineStr">
        <is>
          <t>N/A</t>
        </is>
      </c>
      <c r="P232" s="4" t="inlineStr">
        <is>
          <t>N/A</t>
        </is>
      </c>
      <c r="Q232" s="4" t="inlineStr">
        <is>
          <t>N/A</t>
        </is>
      </c>
      <c r="R232" s="8" t="n">
        <v>46254.77483905092</v>
      </c>
      <c r="S232" s="4" t="inlineStr">
        <is>
          <t>3.0.0</t>
        </is>
      </c>
      <c r="T232" s="4" t="inlineStr">
        <is>
          <t>1.8</t>
        </is>
      </c>
    </row>
    <row r="233">
      <c r="A233" s="4" t="inlineStr">
        <is>
          <t>Grizzly XL YO</t>
        </is>
      </c>
      <c r="B233" s="4" t="inlineStr">
        <is>
          <t>Master Model G10 Grizzly XL Relapse_TwoAge_B07</t>
        </is>
      </c>
      <c r="C233" s="4" t="inlineStr">
        <is>
          <t>JAGS_Female_2000</t>
        </is>
      </c>
      <c r="D233" s="5" t="n">
        <v>0.1</v>
      </c>
      <c r="E233" s="4" t="inlineStr">
        <is>
          <t>Variable</t>
        </is>
      </c>
      <c r="F233" s="4" t="inlineStr">
        <is>
          <t>Smoking initiation and cessation variable</t>
        </is>
      </c>
      <c r="G233" s="4" t="inlineStr">
        <is>
          <t>68 - 72</t>
        </is>
      </c>
      <c r="H233" s="4" t="inlineStr">
        <is>
          <t>DIFF_ALL</t>
        </is>
      </c>
      <c r="I233" s="6" t="n">
        <v>198.620043</v>
      </c>
      <c r="J233" s="7" t="n">
        <v>0.01</v>
      </c>
      <c r="K233" s="7" t="n">
        <v>0.009999999776482582</v>
      </c>
      <c r="L233" s="4" t="inlineStr">
        <is>
          <t>N/A</t>
        </is>
      </c>
      <c r="M233" s="4" t="inlineStr">
        <is>
          <t>N/A</t>
        </is>
      </c>
      <c r="N233" s="4" t="inlineStr">
        <is>
          <t>N/A</t>
        </is>
      </c>
      <c r="O233" s="4" t="inlineStr">
        <is>
          <t>N/A</t>
        </is>
      </c>
      <c r="P233" s="4" t="inlineStr">
        <is>
          <t>N/A</t>
        </is>
      </c>
      <c r="Q233" s="4" t="inlineStr">
        <is>
          <t>N/A</t>
        </is>
      </c>
      <c r="R233" s="8" t="n">
        <v>46254.77484990741</v>
      </c>
      <c r="S233" s="4" t="inlineStr">
        <is>
          <t>3.0.0</t>
        </is>
      </c>
      <c r="T233" s="4" t="inlineStr">
        <is>
          <t>1.8</t>
        </is>
      </c>
    </row>
    <row r="234">
      <c r="A234" s="4" t="inlineStr">
        <is>
          <t>Grizzly XL YO</t>
        </is>
      </c>
      <c r="B234" s="4" t="inlineStr">
        <is>
          <t>Master Model G10 Grizzly XL Relapse_TwoAge_B07</t>
        </is>
      </c>
      <c r="C234" s="4" t="inlineStr">
        <is>
          <t>JAGS_Female_2000</t>
        </is>
      </c>
      <c r="D234" s="5" t="n">
        <v>0.1</v>
      </c>
      <c r="E234" s="4" t="inlineStr">
        <is>
          <t>Variable</t>
        </is>
      </c>
      <c r="F234" s="4" t="inlineStr">
        <is>
          <t>Smoking initiation and cessation variable</t>
        </is>
      </c>
      <c r="G234" s="4" t="inlineStr">
        <is>
          <t>68 - 72</t>
        </is>
      </c>
      <c r="H234" s="4" t="inlineStr">
        <is>
          <t>ALL.T</t>
        </is>
      </c>
      <c r="I234" s="6" t="n">
        <v>785115.878103</v>
      </c>
      <c r="J234" s="7" t="n">
        <v>0.01</v>
      </c>
      <c r="K234" s="7" t="n">
        <v>0.009999999776482582</v>
      </c>
      <c r="L234" s="4" t="inlineStr">
        <is>
          <t>N/A</t>
        </is>
      </c>
      <c r="M234" s="4" t="inlineStr">
        <is>
          <t>N/A</t>
        </is>
      </c>
      <c r="N234" s="4" t="inlineStr">
        <is>
          <t>N/A</t>
        </is>
      </c>
      <c r="O234" s="4" t="inlineStr">
        <is>
          <t>N/A</t>
        </is>
      </c>
      <c r="P234" s="4" t="inlineStr">
        <is>
          <t>N/A</t>
        </is>
      </c>
      <c r="Q234" s="4" t="inlineStr">
        <is>
          <t>N/A</t>
        </is>
      </c>
      <c r="R234" s="8" t="n">
        <v>46254.77484990741</v>
      </c>
      <c r="S234" s="4" t="inlineStr">
        <is>
          <t>3.0.0</t>
        </is>
      </c>
      <c r="T234" s="4" t="inlineStr">
        <is>
          <t>1.8</t>
        </is>
      </c>
    </row>
    <row r="235">
      <c r="A235" s="4" t="inlineStr">
        <is>
          <t>Grizzly XL YO</t>
        </is>
      </c>
      <c r="B235" s="4" t="inlineStr">
        <is>
          <t>Master Model G10 Grizzly XL Relapse_TwoAge_B08</t>
        </is>
      </c>
      <c r="C235" s="4" t="inlineStr">
        <is>
          <t>JAGS_Male_2000</t>
        </is>
      </c>
      <c r="D235" s="5" t="n">
        <v>0.05</v>
      </c>
      <c r="E235" s="4" t="inlineStr">
        <is>
          <t>Variable</t>
        </is>
      </c>
      <c r="F235" s="4" t="inlineStr">
        <is>
          <t>Smoking initiation and cessation variable</t>
        </is>
      </c>
      <c r="G235" s="4" t="inlineStr">
        <is>
          <t>68 - 72</t>
        </is>
      </c>
      <c r="H235" s="4" t="inlineStr">
        <is>
          <t>DIFF_ALL</t>
        </is>
      </c>
      <c r="I235" s="6" t="n">
        <v>80.56328600000001</v>
      </c>
      <c r="J235" s="7" t="n">
        <v>0.01</v>
      </c>
      <c r="K235" s="7" t="n">
        <v>0.009999999776482582</v>
      </c>
      <c r="L235" s="4" t="inlineStr">
        <is>
          <t>N/A</t>
        </is>
      </c>
      <c r="M235" s="4" t="inlineStr">
        <is>
          <t>N/A</t>
        </is>
      </c>
      <c r="N235" s="4" t="inlineStr">
        <is>
          <t>N/A</t>
        </is>
      </c>
      <c r="O235" s="4" t="inlineStr">
        <is>
          <t>N/A</t>
        </is>
      </c>
      <c r="P235" s="4" t="inlineStr">
        <is>
          <t>N/A</t>
        </is>
      </c>
      <c r="Q235" s="4" t="inlineStr">
        <is>
          <t>N/A</t>
        </is>
      </c>
      <c r="R235" s="8" t="n">
        <v>46254.77501645833</v>
      </c>
      <c r="S235" s="4" t="inlineStr">
        <is>
          <t>3.0.0</t>
        </is>
      </c>
      <c r="T235" s="4" t="inlineStr">
        <is>
          <t>1.8</t>
        </is>
      </c>
    </row>
    <row r="236">
      <c r="A236" s="4" t="inlineStr">
        <is>
          <t>Grizzly XL YO</t>
        </is>
      </c>
      <c r="B236" s="4" t="inlineStr">
        <is>
          <t>Master Model G10 Grizzly XL Relapse_TwoAge_B08</t>
        </is>
      </c>
      <c r="C236" s="4" t="inlineStr">
        <is>
          <t>JAGS_Male_2000</t>
        </is>
      </c>
      <c r="D236" s="5" t="n">
        <v>0.05</v>
      </c>
      <c r="E236" s="4" t="inlineStr">
        <is>
          <t>Variable</t>
        </is>
      </c>
      <c r="F236" s="4" t="inlineStr">
        <is>
          <t>Smoking initiation and cessation variable</t>
        </is>
      </c>
      <c r="G236" s="4" t="inlineStr">
        <is>
          <t>68 - 72</t>
        </is>
      </c>
      <c r="H236" s="4" t="inlineStr">
        <is>
          <t>ALL.T</t>
        </is>
      </c>
      <c r="I236" s="6" t="n">
        <v>678833.420864</v>
      </c>
      <c r="J236" s="7" t="n">
        <v>0.01</v>
      </c>
      <c r="K236" s="7" t="n">
        <v>0.009999999776482582</v>
      </c>
      <c r="L236" s="4" t="inlineStr">
        <is>
          <t>N/A</t>
        </is>
      </c>
      <c r="M236" s="4" t="inlineStr">
        <is>
          <t>N/A</t>
        </is>
      </c>
      <c r="N236" s="4" t="inlineStr">
        <is>
          <t>N/A</t>
        </is>
      </c>
      <c r="O236" s="4" t="inlineStr">
        <is>
          <t>N/A</t>
        </is>
      </c>
      <c r="P236" s="4" t="inlineStr">
        <is>
          <t>N/A</t>
        </is>
      </c>
      <c r="Q236" s="4" t="inlineStr">
        <is>
          <t>N/A</t>
        </is>
      </c>
      <c r="R236" s="8" t="n">
        <v>46254.77501645833</v>
      </c>
      <c r="S236" s="4" t="inlineStr">
        <is>
          <t>3.0.0</t>
        </is>
      </c>
      <c r="T236" s="4" t="inlineStr">
        <is>
          <t>1.8</t>
        </is>
      </c>
    </row>
    <row r="237">
      <c r="A237" s="4" t="inlineStr">
        <is>
          <t>Grizzly XL YO</t>
        </is>
      </c>
      <c r="B237" s="4" t="inlineStr">
        <is>
          <t>Master Model G10 Grizzly XL Relapse_TwoAge_B08</t>
        </is>
      </c>
      <c r="C237" s="4" t="inlineStr">
        <is>
          <t>JAGS_Male_2000</t>
        </is>
      </c>
      <c r="D237" s="5" t="n">
        <v>0.1</v>
      </c>
      <c r="E237" s="4" t="inlineStr">
        <is>
          <t>Variable</t>
        </is>
      </c>
      <c r="F237" s="4" t="inlineStr">
        <is>
          <t>Smoking initiation and cessation variable</t>
        </is>
      </c>
      <c r="G237" s="4" t="inlineStr">
        <is>
          <t>68 - 72</t>
        </is>
      </c>
      <c r="H237" s="4" t="inlineStr">
        <is>
          <t>DIFF_ALL</t>
        </is>
      </c>
      <c r="I237" s="6" t="n">
        <v>75.079645</v>
      </c>
      <c r="J237" s="7" t="n">
        <v>0.01</v>
      </c>
      <c r="K237" s="7" t="n">
        <v>0.009999999776482582</v>
      </c>
      <c r="L237" s="4" t="inlineStr">
        <is>
          <t>N/A</t>
        </is>
      </c>
      <c r="M237" s="4" t="inlineStr">
        <is>
          <t>N/A</t>
        </is>
      </c>
      <c r="N237" s="4" t="inlineStr">
        <is>
          <t>N/A</t>
        </is>
      </c>
      <c r="O237" s="4" t="inlineStr">
        <is>
          <t>N/A</t>
        </is>
      </c>
      <c r="P237" s="4" t="inlineStr">
        <is>
          <t>N/A</t>
        </is>
      </c>
      <c r="Q237" s="4" t="inlineStr">
        <is>
          <t>N/A</t>
        </is>
      </c>
      <c r="R237" s="8" t="n">
        <v>46254.775023125</v>
      </c>
      <c r="S237" s="4" t="inlineStr">
        <is>
          <t>3.0.0</t>
        </is>
      </c>
      <c r="T237" s="4" t="inlineStr">
        <is>
          <t>1.8</t>
        </is>
      </c>
    </row>
    <row r="238">
      <c r="A238" s="4" t="inlineStr">
        <is>
          <t>Grizzly XL YO</t>
        </is>
      </c>
      <c r="B238" s="4" t="inlineStr">
        <is>
          <t>Master Model G10 Grizzly XL Relapse_TwoAge_B08</t>
        </is>
      </c>
      <c r="C238" s="4" t="inlineStr">
        <is>
          <t>JAGS_Male_2000</t>
        </is>
      </c>
      <c r="D238" s="5" t="n">
        <v>0.1</v>
      </c>
      <c r="E238" s="4" t="inlineStr">
        <is>
          <t>Variable</t>
        </is>
      </c>
      <c r="F238" s="4" t="inlineStr">
        <is>
          <t>Smoking initiation and cessation variable</t>
        </is>
      </c>
      <c r="G238" s="4" t="inlineStr">
        <is>
          <t>68 - 72</t>
        </is>
      </c>
      <c r="H238" s="4" t="inlineStr">
        <is>
          <t>ALL.T</t>
        </is>
      </c>
      <c r="I238" s="6" t="n">
        <v>678827.937224</v>
      </c>
      <c r="J238" s="7" t="n">
        <v>0.01</v>
      </c>
      <c r="K238" s="7" t="n">
        <v>0.009999999776482582</v>
      </c>
      <c r="L238" s="4" t="inlineStr">
        <is>
          <t>N/A</t>
        </is>
      </c>
      <c r="M238" s="4" t="inlineStr">
        <is>
          <t>N/A</t>
        </is>
      </c>
      <c r="N238" s="4" t="inlineStr">
        <is>
          <t>N/A</t>
        </is>
      </c>
      <c r="O238" s="4" t="inlineStr">
        <is>
          <t>N/A</t>
        </is>
      </c>
      <c r="P238" s="4" t="inlineStr">
        <is>
          <t>N/A</t>
        </is>
      </c>
      <c r="Q238" s="4" t="inlineStr">
        <is>
          <t>N/A</t>
        </is>
      </c>
      <c r="R238" s="8" t="n">
        <v>46254.775023125</v>
      </c>
      <c r="S238" s="4" t="inlineStr">
        <is>
          <t>3.0.0</t>
        </is>
      </c>
      <c r="T238" s="4" t="inlineStr">
        <is>
          <t>1.8</t>
        </is>
      </c>
    </row>
    <row r="239">
      <c r="A239" s="4" t="inlineStr">
        <is>
          <t>Grizzly XL YO</t>
        </is>
      </c>
      <c r="B239" s="4" t="inlineStr">
        <is>
          <t>Master Model G10 Grizzly XL Relapse_TwoAge_B08</t>
        </is>
      </c>
      <c r="C239" s="4" t="inlineStr">
        <is>
          <t>JAGS_Female_2000</t>
        </is>
      </c>
      <c r="D239" s="5" t="n">
        <v>0.05</v>
      </c>
      <c r="E239" s="4" t="inlineStr">
        <is>
          <t>Variable</t>
        </is>
      </c>
      <c r="F239" s="4" t="inlineStr">
        <is>
          <t>Smoking initiation and cessation variable</t>
        </is>
      </c>
      <c r="G239" s="4" t="inlineStr">
        <is>
          <t>68 - 72</t>
        </is>
      </c>
      <c r="H239" s="4" t="inlineStr">
        <is>
          <t>DIFF_ALL</t>
        </is>
      </c>
      <c r="I239" s="6" t="n">
        <v>72.521475</v>
      </c>
      <c r="J239" s="7" t="n">
        <v>0.01</v>
      </c>
      <c r="K239" s="7" t="n">
        <v>0.009999999776482582</v>
      </c>
      <c r="L239" s="4" t="inlineStr">
        <is>
          <t>N/A</t>
        </is>
      </c>
      <c r="M239" s="4" t="inlineStr">
        <is>
          <t>N/A</t>
        </is>
      </c>
      <c r="N239" s="4" t="inlineStr">
        <is>
          <t>N/A</t>
        </is>
      </c>
      <c r="O239" s="4" t="inlineStr">
        <is>
          <t>N/A</t>
        </is>
      </c>
      <c r="P239" s="4" t="inlineStr">
        <is>
          <t>N/A</t>
        </is>
      </c>
      <c r="Q239" s="4" t="inlineStr">
        <is>
          <t>N/A</t>
        </is>
      </c>
      <c r="R239" s="8" t="n">
        <v>46254.77502809028</v>
      </c>
      <c r="S239" s="4" t="inlineStr">
        <is>
          <t>3.0.0</t>
        </is>
      </c>
      <c r="T239" s="4" t="inlineStr">
        <is>
          <t>1.8</t>
        </is>
      </c>
    </row>
    <row r="240">
      <c r="A240" s="4" t="inlineStr">
        <is>
          <t>Grizzly XL YO</t>
        </is>
      </c>
      <c r="B240" s="4" t="inlineStr">
        <is>
          <t>Master Model G10 Grizzly XL Relapse_TwoAge_B08</t>
        </is>
      </c>
      <c r="C240" s="4" t="inlineStr">
        <is>
          <t>JAGS_Female_2000</t>
        </is>
      </c>
      <c r="D240" s="5" t="n">
        <v>0.05</v>
      </c>
      <c r="E240" s="4" t="inlineStr">
        <is>
          <t>Variable</t>
        </is>
      </c>
      <c r="F240" s="4" t="inlineStr">
        <is>
          <t>Smoking initiation and cessation variable</t>
        </is>
      </c>
      <c r="G240" s="4" t="inlineStr">
        <is>
          <t>68 - 72</t>
        </is>
      </c>
      <c r="H240" s="4" t="inlineStr">
        <is>
          <t>ALL.T</t>
        </is>
      </c>
      <c r="I240" s="6" t="n">
        <v>785022.374766</v>
      </c>
      <c r="J240" s="7" t="n">
        <v>0.01</v>
      </c>
      <c r="K240" s="7" t="n">
        <v>0.009999999776482582</v>
      </c>
      <c r="L240" s="4" t="inlineStr">
        <is>
          <t>N/A</t>
        </is>
      </c>
      <c r="M240" s="4" t="inlineStr">
        <is>
          <t>N/A</t>
        </is>
      </c>
      <c r="N240" s="4" t="inlineStr">
        <is>
          <t>N/A</t>
        </is>
      </c>
      <c r="O240" s="4" t="inlineStr">
        <is>
          <t>N/A</t>
        </is>
      </c>
      <c r="P240" s="4" t="inlineStr">
        <is>
          <t>N/A</t>
        </is>
      </c>
      <c r="Q240" s="4" t="inlineStr">
        <is>
          <t>N/A</t>
        </is>
      </c>
      <c r="R240" s="8" t="n">
        <v>46254.77502809028</v>
      </c>
      <c r="S240" s="4" t="inlineStr">
        <is>
          <t>3.0.0</t>
        </is>
      </c>
      <c r="T240" s="4" t="inlineStr">
        <is>
          <t>1.8</t>
        </is>
      </c>
    </row>
    <row r="241">
      <c r="A241" s="4" t="inlineStr">
        <is>
          <t>Grizzly XL YO</t>
        </is>
      </c>
      <c r="B241" s="4" t="inlineStr">
        <is>
          <t>Master Model G10 Grizzly XL Relapse_TwoAge_B08</t>
        </is>
      </c>
      <c r="C241" s="4" t="inlineStr">
        <is>
          <t>JAGS_Female_2000</t>
        </is>
      </c>
      <c r="D241" s="5" t="n">
        <v>0.1</v>
      </c>
      <c r="E241" s="4" t="inlineStr">
        <is>
          <t>Variable</t>
        </is>
      </c>
      <c r="F241" s="4" t="inlineStr">
        <is>
          <t>Smoking initiation and cessation variable</t>
        </is>
      </c>
      <c r="G241" s="4" t="inlineStr">
        <is>
          <t>68 - 72</t>
        </is>
      </c>
      <c r="H241" s="4" t="inlineStr">
        <is>
          <t>DIFF_ALL</t>
        </is>
      </c>
      <c r="I241" s="6" t="n">
        <v>67.65795900000001</v>
      </c>
      <c r="J241" s="7" t="n">
        <v>0.01</v>
      </c>
      <c r="K241" s="7" t="n">
        <v>0.009999999776482582</v>
      </c>
      <c r="L241" s="4" t="inlineStr">
        <is>
          <t>N/A</t>
        </is>
      </c>
      <c r="M241" s="4" t="inlineStr">
        <is>
          <t>N/A</t>
        </is>
      </c>
      <c r="N241" s="4" t="inlineStr">
        <is>
          <t>N/A</t>
        </is>
      </c>
      <c r="O241" s="4" t="inlineStr">
        <is>
          <t>N/A</t>
        </is>
      </c>
      <c r="P241" s="4" t="inlineStr">
        <is>
          <t>N/A</t>
        </is>
      </c>
      <c r="Q241" s="4" t="inlineStr">
        <is>
          <t>N/A</t>
        </is>
      </c>
      <c r="R241" s="8" t="n">
        <v>46254.77502886574</v>
      </c>
      <c r="S241" s="4" t="inlineStr">
        <is>
          <t>3.0.0</t>
        </is>
      </c>
      <c r="T241" s="4" t="inlineStr">
        <is>
          <t>1.8</t>
        </is>
      </c>
    </row>
    <row r="242">
      <c r="A242" s="4" t="inlineStr">
        <is>
          <t>Grizzly XL YO</t>
        </is>
      </c>
      <c r="B242" s="4" t="inlineStr">
        <is>
          <t>Master Model G10 Grizzly XL Relapse_TwoAge_B08</t>
        </is>
      </c>
      <c r="C242" s="4" t="inlineStr">
        <is>
          <t>JAGS_Female_2000</t>
        </is>
      </c>
      <c r="D242" s="5" t="n">
        <v>0.1</v>
      </c>
      <c r="E242" s="4" t="inlineStr">
        <is>
          <t>Variable</t>
        </is>
      </c>
      <c r="F242" s="4" t="inlineStr">
        <is>
          <t>Smoking initiation and cessation variable</t>
        </is>
      </c>
      <c r="G242" s="4" t="inlineStr">
        <is>
          <t>68 - 72</t>
        </is>
      </c>
      <c r="H242" s="4" t="inlineStr">
        <is>
          <t>ALL.T</t>
        </is>
      </c>
      <c r="I242" s="6" t="n">
        <v>785017.51125</v>
      </c>
      <c r="J242" s="7" t="n">
        <v>0.01</v>
      </c>
      <c r="K242" s="7" t="n">
        <v>0.009999999776482582</v>
      </c>
      <c r="L242" s="4" t="inlineStr">
        <is>
          <t>N/A</t>
        </is>
      </c>
      <c r="M242" s="4" t="inlineStr">
        <is>
          <t>N/A</t>
        </is>
      </c>
      <c r="N242" s="4" t="inlineStr">
        <is>
          <t>N/A</t>
        </is>
      </c>
      <c r="O242" s="4" t="inlineStr">
        <is>
          <t>N/A</t>
        </is>
      </c>
      <c r="P242" s="4" t="inlineStr">
        <is>
          <t>N/A</t>
        </is>
      </c>
      <c r="Q242" s="4" t="inlineStr">
        <is>
          <t>N/A</t>
        </is>
      </c>
      <c r="R242" s="8" t="n">
        <v>46254.77502886574</v>
      </c>
      <c r="S242" s="4" t="inlineStr">
        <is>
          <t>3.0.0</t>
        </is>
      </c>
      <c r="T242" s="4" t="inlineStr">
        <is>
          <t>1.8</t>
        </is>
      </c>
    </row>
    <row r="243">
      <c r="A243" s="4" t="inlineStr">
        <is>
          <t>Grizzly XL YO</t>
        </is>
      </c>
      <c r="B243" s="4" t="inlineStr">
        <is>
          <t>Master Model G10 Grizzly XL Relapse_TwoAge_B09</t>
        </is>
      </c>
      <c r="C243" s="4" t="inlineStr">
        <is>
          <t>JAGS_Male_2000</t>
        </is>
      </c>
      <c r="D243" s="5" t="n">
        <v>0.05</v>
      </c>
      <c r="E243" s="4" t="inlineStr">
        <is>
          <t>Variable</t>
        </is>
      </c>
      <c r="F243" s="4" t="inlineStr">
        <is>
          <t>Smoking initiation and cessation variable</t>
        </is>
      </c>
      <c r="G243" s="4" t="inlineStr">
        <is>
          <t>68 - 72</t>
        </is>
      </c>
      <c r="H243" s="4" t="inlineStr">
        <is>
          <t>DIFF_ALL</t>
        </is>
      </c>
      <c r="I243" s="6" t="n">
        <v>22.738443</v>
      </c>
      <c r="J243" s="7" t="n">
        <v>0.01</v>
      </c>
      <c r="K243" s="7" t="n">
        <v>0.009999999776482582</v>
      </c>
      <c r="L243" s="4" t="inlineStr">
        <is>
          <t>N/A</t>
        </is>
      </c>
      <c r="M243" s="4" t="inlineStr">
        <is>
          <t>N/A</t>
        </is>
      </c>
      <c r="N243" s="4" t="inlineStr">
        <is>
          <t>N/A</t>
        </is>
      </c>
      <c r="O243" s="4" t="inlineStr">
        <is>
          <t>N/A</t>
        </is>
      </c>
      <c r="P243" s="4" t="inlineStr">
        <is>
          <t>N/A</t>
        </is>
      </c>
      <c r="Q243" s="4" t="inlineStr">
        <is>
          <t>N/A</t>
        </is>
      </c>
      <c r="R243" s="8" t="n">
        <v>46254.77519803241</v>
      </c>
      <c r="S243" s="4" t="inlineStr">
        <is>
          <t>3.0.0</t>
        </is>
      </c>
      <c r="T243" s="4" t="inlineStr">
        <is>
          <t>1.8</t>
        </is>
      </c>
    </row>
    <row r="244">
      <c r="A244" s="4" t="inlineStr">
        <is>
          <t>Grizzly XL YO</t>
        </is>
      </c>
      <c r="B244" s="4" t="inlineStr">
        <is>
          <t>Master Model G10 Grizzly XL Relapse_TwoAge_B09</t>
        </is>
      </c>
      <c r="C244" s="4" t="inlineStr">
        <is>
          <t>JAGS_Male_2000</t>
        </is>
      </c>
      <c r="D244" s="5" t="n">
        <v>0.05</v>
      </c>
      <c r="E244" s="4" t="inlineStr">
        <is>
          <t>Variable</t>
        </is>
      </c>
      <c r="F244" s="4" t="inlineStr">
        <is>
          <t>Smoking initiation and cessation variable</t>
        </is>
      </c>
      <c r="G244" s="4" t="inlineStr">
        <is>
          <t>68 - 72</t>
        </is>
      </c>
      <c r="H244" s="4" t="inlineStr">
        <is>
          <t>ALL.T</t>
        </is>
      </c>
      <c r="I244" s="6" t="n">
        <v>678781.057071</v>
      </c>
      <c r="J244" s="7" t="n">
        <v>0.01</v>
      </c>
      <c r="K244" s="7" t="n">
        <v>0.009999999776482582</v>
      </c>
      <c r="L244" s="4" t="inlineStr">
        <is>
          <t>N/A</t>
        </is>
      </c>
      <c r="M244" s="4" t="inlineStr">
        <is>
          <t>N/A</t>
        </is>
      </c>
      <c r="N244" s="4" t="inlineStr">
        <is>
          <t>N/A</t>
        </is>
      </c>
      <c r="O244" s="4" t="inlineStr">
        <is>
          <t>N/A</t>
        </is>
      </c>
      <c r="P244" s="4" t="inlineStr">
        <is>
          <t>N/A</t>
        </is>
      </c>
      <c r="Q244" s="4" t="inlineStr">
        <is>
          <t>N/A</t>
        </is>
      </c>
      <c r="R244" s="8" t="n">
        <v>46254.77519803241</v>
      </c>
      <c r="S244" s="4" t="inlineStr">
        <is>
          <t>3.0.0</t>
        </is>
      </c>
      <c r="T244" s="4" t="inlineStr">
        <is>
          <t>1.8</t>
        </is>
      </c>
    </row>
    <row r="245">
      <c r="A245" s="4" t="inlineStr">
        <is>
          <t>Grizzly XL YO</t>
        </is>
      </c>
      <c r="B245" s="4" t="inlineStr">
        <is>
          <t>Master Model G10 Grizzly XL Relapse_TwoAge_B09</t>
        </is>
      </c>
      <c r="C245" s="4" t="inlineStr">
        <is>
          <t>JAGS_Male_2000</t>
        </is>
      </c>
      <c r="D245" s="5" t="n">
        <v>0.1</v>
      </c>
      <c r="E245" s="4" t="inlineStr">
        <is>
          <t>Variable</t>
        </is>
      </c>
      <c r="F245" s="4" t="inlineStr">
        <is>
          <t>Smoking initiation and cessation variable</t>
        </is>
      </c>
      <c r="G245" s="4" t="inlineStr">
        <is>
          <t>68 - 72</t>
        </is>
      </c>
      <c r="H245" s="4" t="inlineStr">
        <is>
          <t>DIFF_ALL</t>
        </is>
      </c>
      <c r="I245" s="6" t="n">
        <v>21.066542</v>
      </c>
      <c r="J245" s="7" t="n">
        <v>0.01</v>
      </c>
      <c r="K245" s="7" t="n">
        <v>0.009999999776482582</v>
      </c>
      <c r="L245" s="4" t="inlineStr">
        <is>
          <t>N/A</t>
        </is>
      </c>
      <c r="M245" s="4" t="inlineStr">
        <is>
          <t>N/A</t>
        </is>
      </c>
      <c r="N245" s="4" t="inlineStr">
        <is>
          <t>N/A</t>
        </is>
      </c>
      <c r="O245" s="4" t="inlineStr">
        <is>
          <t>N/A</t>
        </is>
      </c>
      <c r="P245" s="4" t="inlineStr">
        <is>
          <t>N/A</t>
        </is>
      </c>
      <c r="Q245" s="4" t="inlineStr">
        <is>
          <t>N/A</t>
        </is>
      </c>
      <c r="R245" s="8" t="n">
        <v>46254.77519950231</v>
      </c>
      <c r="S245" s="4" t="inlineStr">
        <is>
          <t>3.0.0</t>
        </is>
      </c>
      <c r="T245" s="4" t="inlineStr">
        <is>
          <t>1.8</t>
        </is>
      </c>
    </row>
    <row r="246">
      <c r="A246" s="4" t="inlineStr">
        <is>
          <t>Grizzly XL YO</t>
        </is>
      </c>
      <c r="B246" s="4" t="inlineStr">
        <is>
          <t>Master Model G10 Grizzly XL Relapse_TwoAge_B09</t>
        </is>
      </c>
      <c r="C246" s="4" t="inlineStr">
        <is>
          <t>JAGS_Male_2000</t>
        </is>
      </c>
      <c r="D246" s="5" t="n">
        <v>0.1</v>
      </c>
      <c r="E246" s="4" t="inlineStr">
        <is>
          <t>Variable</t>
        </is>
      </c>
      <c r="F246" s="4" t="inlineStr">
        <is>
          <t>Smoking initiation and cessation variable</t>
        </is>
      </c>
      <c r="G246" s="4" t="inlineStr">
        <is>
          <t>68 - 72</t>
        </is>
      </c>
      <c r="H246" s="4" t="inlineStr">
        <is>
          <t>ALL.T</t>
        </is>
      </c>
      <c r="I246" s="6" t="n">
        <v>678779.38517</v>
      </c>
      <c r="J246" s="7" t="n">
        <v>0.01</v>
      </c>
      <c r="K246" s="7" t="n">
        <v>0.009999999776482582</v>
      </c>
      <c r="L246" s="4" t="inlineStr">
        <is>
          <t>N/A</t>
        </is>
      </c>
      <c r="M246" s="4" t="inlineStr">
        <is>
          <t>N/A</t>
        </is>
      </c>
      <c r="N246" s="4" t="inlineStr">
        <is>
          <t>N/A</t>
        </is>
      </c>
      <c r="O246" s="4" t="inlineStr">
        <is>
          <t>N/A</t>
        </is>
      </c>
      <c r="P246" s="4" t="inlineStr">
        <is>
          <t>N/A</t>
        </is>
      </c>
      <c r="Q246" s="4" t="inlineStr">
        <is>
          <t>N/A</t>
        </is>
      </c>
      <c r="R246" s="8" t="n">
        <v>46254.77519950231</v>
      </c>
      <c r="S246" s="4" t="inlineStr">
        <is>
          <t>3.0.0</t>
        </is>
      </c>
      <c r="T246" s="4" t="inlineStr">
        <is>
          <t>1.8</t>
        </is>
      </c>
    </row>
    <row r="247">
      <c r="A247" s="4" t="inlineStr">
        <is>
          <t>Grizzly XL YO</t>
        </is>
      </c>
      <c r="B247" s="4" t="inlineStr">
        <is>
          <t>Master Model G10 Grizzly XL Relapse_TwoAge_B09</t>
        </is>
      </c>
      <c r="C247" s="4" t="inlineStr">
        <is>
          <t>JAGS_Female_2000</t>
        </is>
      </c>
      <c r="D247" s="5" t="n">
        <v>0.05</v>
      </c>
      <c r="E247" s="4" t="inlineStr">
        <is>
          <t>Variable</t>
        </is>
      </c>
      <c r="F247" s="4" t="inlineStr">
        <is>
          <t>Smoking initiation and cessation variable</t>
        </is>
      </c>
      <c r="G247" s="4" t="inlineStr">
        <is>
          <t>68 - 72</t>
        </is>
      </c>
      <c r="H247" s="4" t="inlineStr">
        <is>
          <t>DIFF_ALL</t>
        </is>
      </c>
      <c r="I247" s="6" t="n">
        <v>21.167072</v>
      </c>
      <c r="J247" s="7" t="n">
        <v>0.01</v>
      </c>
      <c r="K247" s="7" t="n">
        <v>0.009999999776482582</v>
      </c>
      <c r="L247" s="4" t="inlineStr">
        <is>
          <t>N/A</t>
        </is>
      </c>
      <c r="M247" s="4" t="inlineStr">
        <is>
          <t>N/A</t>
        </is>
      </c>
      <c r="N247" s="4" t="inlineStr">
        <is>
          <t>N/A</t>
        </is>
      </c>
      <c r="O247" s="4" t="inlineStr">
        <is>
          <t>N/A</t>
        </is>
      </c>
      <c r="P247" s="4" t="inlineStr">
        <is>
          <t>N/A</t>
        </is>
      </c>
      <c r="Q247" s="4" t="inlineStr">
        <is>
          <t>N/A</t>
        </is>
      </c>
      <c r="R247" s="8" t="n">
        <v>46254.7752011574</v>
      </c>
      <c r="S247" s="4" t="inlineStr">
        <is>
          <t>3.0.0</t>
        </is>
      </c>
      <c r="T247" s="4" t="inlineStr">
        <is>
          <t>1.8</t>
        </is>
      </c>
    </row>
    <row r="248">
      <c r="A248" s="4" t="inlineStr">
        <is>
          <t>Grizzly XL YO</t>
        </is>
      </c>
      <c r="B248" s="4" t="inlineStr">
        <is>
          <t>Master Model G10 Grizzly XL Relapse_TwoAge_B09</t>
        </is>
      </c>
      <c r="C248" s="4" t="inlineStr">
        <is>
          <t>JAGS_Female_2000</t>
        </is>
      </c>
      <c r="D248" s="5" t="n">
        <v>0.05</v>
      </c>
      <c r="E248" s="4" t="inlineStr">
        <is>
          <t>Variable</t>
        </is>
      </c>
      <c r="F248" s="4" t="inlineStr">
        <is>
          <t>Smoking initiation and cessation variable</t>
        </is>
      </c>
      <c r="G248" s="4" t="inlineStr">
        <is>
          <t>68 - 72</t>
        </is>
      </c>
      <c r="H248" s="4" t="inlineStr">
        <is>
          <t>ALL.T</t>
        </is>
      </c>
      <c r="I248" s="6" t="n">
        <v>784975.7594409999</v>
      </c>
      <c r="J248" s="7" t="n">
        <v>0.01</v>
      </c>
      <c r="K248" s="7" t="n">
        <v>0.009999999776482582</v>
      </c>
      <c r="L248" s="4" t="inlineStr">
        <is>
          <t>N/A</t>
        </is>
      </c>
      <c r="M248" s="4" t="inlineStr">
        <is>
          <t>N/A</t>
        </is>
      </c>
      <c r="N248" s="4" t="inlineStr">
        <is>
          <t>N/A</t>
        </is>
      </c>
      <c r="O248" s="4" t="inlineStr">
        <is>
          <t>N/A</t>
        </is>
      </c>
      <c r="P248" s="4" t="inlineStr">
        <is>
          <t>N/A</t>
        </is>
      </c>
      <c r="Q248" s="4" t="inlineStr">
        <is>
          <t>N/A</t>
        </is>
      </c>
      <c r="R248" s="8" t="n">
        <v>46254.7752011574</v>
      </c>
      <c r="S248" s="4" t="inlineStr">
        <is>
          <t>3.0.0</t>
        </is>
      </c>
      <c r="T248" s="4" t="inlineStr">
        <is>
          <t>1.8</t>
        </is>
      </c>
    </row>
    <row r="249">
      <c r="A249" s="4" t="inlineStr">
        <is>
          <t>Grizzly XL YO</t>
        </is>
      </c>
      <c r="B249" s="4" t="inlineStr">
        <is>
          <t>Master Model G10 Grizzly XL Relapse_TwoAge_B09</t>
        </is>
      </c>
      <c r="C249" s="4" t="inlineStr">
        <is>
          <t>JAGS_Female_2000</t>
        </is>
      </c>
      <c r="D249" s="5" t="n">
        <v>0.1</v>
      </c>
      <c r="E249" s="4" t="inlineStr">
        <is>
          <t>Variable</t>
        </is>
      </c>
      <c r="F249" s="4" t="inlineStr">
        <is>
          <t>Smoking initiation and cessation variable</t>
        </is>
      </c>
      <c r="G249" s="4" t="inlineStr">
        <is>
          <t>68 - 72</t>
        </is>
      </c>
      <c r="H249" s="4" t="inlineStr">
        <is>
          <t>DIFF_ALL</t>
        </is>
      </c>
      <c r="I249" s="6" t="n">
        <v>19.623824</v>
      </c>
      <c r="J249" s="7" t="n">
        <v>0.01</v>
      </c>
      <c r="K249" s="7" t="n">
        <v>0.009999999776482582</v>
      </c>
      <c r="L249" s="4" t="inlineStr">
        <is>
          <t>N/A</t>
        </is>
      </c>
      <c r="M249" s="4" t="inlineStr">
        <is>
          <t>N/A</t>
        </is>
      </c>
      <c r="N249" s="4" t="inlineStr">
        <is>
          <t>N/A</t>
        </is>
      </c>
      <c r="O249" s="4" t="inlineStr">
        <is>
          <t>N/A</t>
        </is>
      </c>
      <c r="P249" s="4" t="inlineStr">
        <is>
          <t>N/A</t>
        </is>
      </c>
      <c r="Q249" s="4" t="inlineStr">
        <is>
          <t>N/A</t>
        </is>
      </c>
      <c r="R249" s="8" t="n">
        <v>46254.77520274305</v>
      </c>
      <c r="S249" s="4" t="inlineStr">
        <is>
          <t>3.0.0</t>
        </is>
      </c>
      <c r="T249" s="4" t="inlineStr">
        <is>
          <t>1.8</t>
        </is>
      </c>
    </row>
    <row r="250">
      <c r="A250" s="4" t="inlineStr">
        <is>
          <t>Grizzly XL YO</t>
        </is>
      </c>
      <c r="B250" s="4" t="inlineStr">
        <is>
          <t>Master Model G10 Grizzly XL Relapse_TwoAge_B09</t>
        </is>
      </c>
      <c r="C250" s="4" t="inlineStr">
        <is>
          <t>JAGS_Female_2000</t>
        </is>
      </c>
      <c r="D250" s="5" t="n">
        <v>0.1</v>
      </c>
      <c r="E250" s="4" t="inlineStr">
        <is>
          <t>Variable</t>
        </is>
      </c>
      <c r="F250" s="4" t="inlineStr">
        <is>
          <t>Smoking initiation and cessation variable</t>
        </is>
      </c>
      <c r="G250" s="4" t="inlineStr">
        <is>
          <t>68 - 72</t>
        </is>
      </c>
      <c r="H250" s="4" t="inlineStr">
        <is>
          <t>ALL.T</t>
        </is>
      </c>
      <c r="I250" s="6" t="n">
        <v>784974.216193</v>
      </c>
      <c r="J250" s="7" t="n">
        <v>0.01</v>
      </c>
      <c r="K250" s="7" t="n">
        <v>0.009999999776482582</v>
      </c>
      <c r="L250" s="4" t="inlineStr">
        <is>
          <t>N/A</t>
        </is>
      </c>
      <c r="M250" s="4" t="inlineStr">
        <is>
          <t>N/A</t>
        </is>
      </c>
      <c r="N250" s="4" t="inlineStr">
        <is>
          <t>N/A</t>
        </is>
      </c>
      <c r="O250" s="4" t="inlineStr">
        <is>
          <t>N/A</t>
        </is>
      </c>
      <c r="P250" s="4" t="inlineStr">
        <is>
          <t>N/A</t>
        </is>
      </c>
      <c r="Q250" s="4" t="inlineStr">
        <is>
          <t>N/A</t>
        </is>
      </c>
      <c r="R250" s="8" t="n">
        <v>46254.77520274305</v>
      </c>
      <c r="S250" s="4" t="inlineStr">
        <is>
          <t>3.0.0</t>
        </is>
      </c>
      <c r="T250" s="4" t="inlineStr">
        <is>
          <t>1.8</t>
        </is>
      </c>
    </row>
    <row r="251">
      <c r="A251" s="4" t="inlineStr">
        <is>
          <t>Grizzly XL YO</t>
        </is>
      </c>
      <c r="B251" s="4" t="inlineStr">
        <is>
          <t>Master Model G10 Grizzly XL Relapse_TwoAge_B10</t>
        </is>
      </c>
      <c r="C251" s="4" t="inlineStr">
        <is>
          <t>JAGS_Male_2000</t>
        </is>
      </c>
      <c r="D251" s="5" t="n">
        <v>0.05</v>
      </c>
      <c r="E251" s="4" t="inlineStr">
        <is>
          <t>Variable</t>
        </is>
      </c>
      <c r="F251" s="4" t="inlineStr">
        <is>
          <t>Smoking initiation and cessation variable</t>
        </is>
      </c>
      <c r="G251" s="4" t="inlineStr">
        <is>
          <t>68 - 72</t>
        </is>
      </c>
      <c r="H251" s="4" t="inlineStr">
        <is>
          <t>DIFF_ALL</t>
        </is>
      </c>
      <c r="I251" s="6" t="n">
        <v>8.770486999999999</v>
      </c>
      <c r="J251" s="7" t="n">
        <v>0.01</v>
      </c>
      <c r="K251" s="7" t="n">
        <v>0.009999999776482582</v>
      </c>
      <c r="L251" s="4" t="inlineStr">
        <is>
          <t>N/A</t>
        </is>
      </c>
      <c r="M251" s="4" t="inlineStr">
        <is>
          <t>N/A</t>
        </is>
      </c>
      <c r="N251" s="4" t="inlineStr">
        <is>
          <t>N/A</t>
        </is>
      </c>
      <c r="O251" s="4" t="inlineStr">
        <is>
          <t>N/A</t>
        </is>
      </c>
      <c r="P251" s="4" t="inlineStr">
        <is>
          <t>N/A</t>
        </is>
      </c>
      <c r="Q251" s="4" t="inlineStr">
        <is>
          <t>N/A</t>
        </is>
      </c>
      <c r="R251" s="8" t="n">
        <v>46254.77550685185</v>
      </c>
      <c r="S251" s="4" t="inlineStr">
        <is>
          <t>3.0.0</t>
        </is>
      </c>
      <c r="T251" s="4" t="inlineStr">
        <is>
          <t>1.8</t>
        </is>
      </c>
    </row>
    <row r="252">
      <c r="A252" s="4" t="inlineStr">
        <is>
          <t>Grizzly XL YO</t>
        </is>
      </c>
      <c r="B252" s="4" t="inlineStr">
        <is>
          <t>Master Model G10 Grizzly XL Relapse_TwoAge_B10</t>
        </is>
      </c>
      <c r="C252" s="4" t="inlineStr">
        <is>
          <t>JAGS_Male_2000</t>
        </is>
      </c>
      <c r="D252" s="5" t="n">
        <v>0.05</v>
      </c>
      <c r="E252" s="4" t="inlineStr">
        <is>
          <t>Variable</t>
        </is>
      </c>
      <c r="F252" s="4" t="inlineStr">
        <is>
          <t>Smoking initiation and cessation variable</t>
        </is>
      </c>
      <c r="G252" s="4" t="inlineStr">
        <is>
          <t>68 - 72</t>
        </is>
      </c>
      <c r="H252" s="4" t="inlineStr">
        <is>
          <t>ALL.T</t>
        </is>
      </c>
      <c r="I252" s="6" t="n">
        <v>678771.057958</v>
      </c>
      <c r="J252" s="7" t="n">
        <v>0.01</v>
      </c>
      <c r="K252" s="7" t="n">
        <v>0.009999999776482582</v>
      </c>
      <c r="L252" s="4" t="inlineStr">
        <is>
          <t>N/A</t>
        </is>
      </c>
      <c r="M252" s="4" t="inlineStr">
        <is>
          <t>N/A</t>
        </is>
      </c>
      <c r="N252" s="4" t="inlineStr">
        <is>
          <t>N/A</t>
        </is>
      </c>
      <c r="O252" s="4" t="inlineStr">
        <is>
          <t>N/A</t>
        </is>
      </c>
      <c r="P252" s="4" t="inlineStr">
        <is>
          <t>N/A</t>
        </is>
      </c>
      <c r="Q252" s="4" t="inlineStr">
        <is>
          <t>N/A</t>
        </is>
      </c>
      <c r="R252" s="8" t="n">
        <v>46254.77550685185</v>
      </c>
      <c r="S252" s="4" t="inlineStr">
        <is>
          <t>3.0.0</t>
        </is>
      </c>
      <c r="T252" s="4" t="inlineStr">
        <is>
          <t>1.8</t>
        </is>
      </c>
    </row>
    <row r="253">
      <c r="A253" s="4" t="inlineStr">
        <is>
          <t>Grizzly XL YO</t>
        </is>
      </c>
      <c r="B253" s="4" t="inlineStr">
        <is>
          <t>Master Model G10 Grizzly XL Relapse_TwoAge_B10</t>
        </is>
      </c>
      <c r="C253" s="4" t="inlineStr">
        <is>
          <t>JAGS_Male_2000</t>
        </is>
      </c>
      <c r="D253" s="5" t="n">
        <v>0.1</v>
      </c>
      <c r="E253" s="4" t="inlineStr">
        <is>
          <t>Variable</t>
        </is>
      </c>
      <c r="F253" s="4" t="inlineStr">
        <is>
          <t>Smoking initiation and cessation variable</t>
        </is>
      </c>
      <c r="G253" s="4" t="inlineStr">
        <is>
          <t>68 - 72</t>
        </is>
      </c>
      <c r="H253" s="4" t="inlineStr">
        <is>
          <t>DIFF_ALL</t>
        </is>
      </c>
      <c r="I253" s="6" t="n">
        <v>8.129179000000001</v>
      </c>
      <c r="J253" s="7" t="n">
        <v>0.01</v>
      </c>
      <c r="K253" s="7" t="n">
        <v>0.009999999776482582</v>
      </c>
      <c r="L253" s="4" t="inlineStr">
        <is>
          <t>N/A</t>
        </is>
      </c>
      <c r="M253" s="4" t="inlineStr">
        <is>
          <t>N/A</t>
        </is>
      </c>
      <c r="N253" s="4" t="inlineStr">
        <is>
          <t>N/A</t>
        </is>
      </c>
      <c r="O253" s="4" t="inlineStr">
        <is>
          <t>N/A</t>
        </is>
      </c>
      <c r="P253" s="4" t="inlineStr">
        <is>
          <t>N/A</t>
        </is>
      </c>
      <c r="Q253" s="4" t="inlineStr">
        <is>
          <t>N/A</t>
        </is>
      </c>
      <c r="R253" s="8" t="n">
        <v>46254.77550728009</v>
      </c>
      <c r="S253" s="4" t="inlineStr">
        <is>
          <t>3.0.0</t>
        </is>
      </c>
      <c r="T253" s="4" t="inlineStr">
        <is>
          <t>1.8</t>
        </is>
      </c>
    </row>
    <row r="254">
      <c r="A254" s="4" t="inlineStr">
        <is>
          <t>Grizzly XL YO</t>
        </is>
      </c>
      <c r="B254" s="4" t="inlineStr">
        <is>
          <t>Master Model G10 Grizzly XL Relapse_TwoAge_B10</t>
        </is>
      </c>
      <c r="C254" s="4" t="inlineStr">
        <is>
          <t>JAGS_Male_2000</t>
        </is>
      </c>
      <c r="D254" s="5" t="n">
        <v>0.1</v>
      </c>
      <c r="E254" s="4" t="inlineStr">
        <is>
          <t>Variable</t>
        </is>
      </c>
      <c r="F254" s="4" t="inlineStr">
        <is>
          <t>Smoking initiation and cessation variable</t>
        </is>
      </c>
      <c r="G254" s="4" t="inlineStr">
        <is>
          <t>68 - 72</t>
        </is>
      </c>
      <c r="H254" s="4" t="inlineStr">
        <is>
          <t>ALL.T</t>
        </is>
      </c>
      <c r="I254" s="6" t="n">
        <v>678770.416649</v>
      </c>
      <c r="J254" s="7" t="n">
        <v>0.01</v>
      </c>
      <c r="K254" s="7" t="n">
        <v>0.009999999776482582</v>
      </c>
      <c r="L254" s="4" t="inlineStr">
        <is>
          <t>N/A</t>
        </is>
      </c>
      <c r="M254" s="4" t="inlineStr">
        <is>
          <t>N/A</t>
        </is>
      </c>
      <c r="N254" s="4" t="inlineStr">
        <is>
          <t>N/A</t>
        </is>
      </c>
      <c r="O254" s="4" t="inlineStr">
        <is>
          <t>N/A</t>
        </is>
      </c>
      <c r="P254" s="4" t="inlineStr">
        <is>
          <t>N/A</t>
        </is>
      </c>
      <c r="Q254" s="4" t="inlineStr">
        <is>
          <t>N/A</t>
        </is>
      </c>
      <c r="R254" s="8" t="n">
        <v>46254.77550728009</v>
      </c>
      <c r="S254" s="4" t="inlineStr">
        <is>
          <t>3.0.0</t>
        </is>
      </c>
      <c r="T254" s="4" t="inlineStr">
        <is>
          <t>1.8</t>
        </is>
      </c>
    </row>
    <row r="255">
      <c r="A255" s="4" t="inlineStr">
        <is>
          <t>Grizzly XL YO</t>
        </is>
      </c>
      <c r="B255" s="4" t="inlineStr">
        <is>
          <t>Master Model G10 Grizzly XL Relapse_TwoAge_B10</t>
        </is>
      </c>
      <c r="C255" s="4" t="inlineStr">
        <is>
          <t>JAGS_Female_2000</t>
        </is>
      </c>
      <c r="D255" s="5" t="n">
        <v>0.05</v>
      </c>
      <c r="E255" s="4" t="inlineStr">
        <is>
          <t>Variable</t>
        </is>
      </c>
      <c r="F255" s="4" t="inlineStr">
        <is>
          <t>Smoking initiation and cessation variable</t>
        </is>
      </c>
      <c r="G255" s="4" t="inlineStr">
        <is>
          <t>68 - 72</t>
        </is>
      </c>
      <c r="H255" s="4" t="inlineStr">
        <is>
          <t>DIFF_ALL</t>
        </is>
      </c>
      <c r="I255" s="6" t="n">
        <v>8.409509999999999</v>
      </c>
      <c r="J255" s="7" t="n">
        <v>0.01</v>
      </c>
      <c r="K255" s="7" t="n">
        <v>0.009999999776482582</v>
      </c>
      <c r="L255" s="4" t="inlineStr">
        <is>
          <t>N/A</t>
        </is>
      </c>
      <c r="M255" s="4" t="inlineStr">
        <is>
          <t>N/A</t>
        </is>
      </c>
      <c r="N255" s="4" t="inlineStr">
        <is>
          <t>N/A</t>
        </is>
      </c>
      <c r="O255" s="4" t="inlineStr">
        <is>
          <t>N/A</t>
        </is>
      </c>
      <c r="P255" s="4" t="inlineStr">
        <is>
          <t>N/A</t>
        </is>
      </c>
      <c r="Q255" s="4" t="inlineStr">
        <is>
          <t>N/A</t>
        </is>
      </c>
      <c r="R255" s="8" t="n">
        <v>46254.77550770833</v>
      </c>
      <c r="S255" s="4" t="inlineStr">
        <is>
          <t>3.0.0</t>
        </is>
      </c>
      <c r="T255" s="4" t="inlineStr">
        <is>
          <t>1.8</t>
        </is>
      </c>
    </row>
    <row r="256">
      <c r="A256" s="4" t="inlineStr">
        <is>
          <t>Grizzly XL YO</t>
        </is>
      </c>
      <c r="B256" s="4" t="inlineStr">
        <is>
          <t>Master Model G10 Grizzly XL Relapse_TwoAge_B10</t>
        </is>
      </c>
      <c r="C256" s="4" t="inlineStr">
        <is>
          <t>JAGS_Female_2000</t>
        </is>
      </c>
      <c r="D256" s="5" t="n">
        <v>0.05</v>
      </c>
      <c r="E256" s="4" t="inlineStr">
        <is>
          <t>Variable</t>
        </is>
      </c>
      <c r="F256" s="4" t="inlineStr">
        <is>
          <t>Smoking initiation and cessation variable</t>
        </is>
      </c>
      <c r="G256" s="4" t="inlineStr">
        <is>
          <t>68 - 72</t>
        </is>
      </c>
      <c r="H256" s="4" t="inlineStr">
        <is>
          <t>ALL.T</t>
        </is>
      </c>
      <c r="I256" s="6" t="n">
        <v>784966.612075</v>
      </c>
      <c r="J256" s="7" t="n">
        <v>0.01</v>
      </c>
      <c r="K256" s="7" t="n">
        <v>0.009999999776482582</v>
      </c>
      <c r="L256" s="4" t="inlineStr">
        <is>
          <t>N/A</t>
        </is>
      </c>
      <c r="M256" s="4" t="inlineStr">
        <is>
          <t>N/A</t>
        </is>
      </c>
      <c r="N256" s="4" t="inlineStr">
        <is>
          <t>N/A</t>
        </is>
      </c>
      <c r="O256" s="4" t="inlineStr">
        <is>
          <t>N/A</t>
        </is>
      </c>
      <c r="P256" s="4" t="inlineStr">
        <is>
          <t>N/A</t>
        </is>
      </c>
      <c r="Q256" s="4" t="inlineStr">
        <is>
          <t>N/A</t>
        </is>
      </c>
      <c r="R256" s="8" t="n">
        <v>46254.77550770833</v>
      </c>
      <c r="S256" s="4" t="inlineStr">
        <is>
          <t>3.0.0</t>
        </is>
      </c>
      <c r="T256" s="4" t="inlineStr">
        <is>
          <t>1.8</t>
        </is>
      </c>
    </row>
    <row r="257">
      <c r="A257" s="4" t="inlineStr">
        <is>
          <t>Grizzly XL YO</t>
        </is>
      </c>
      <c r="B257" s="4" t="inlineStr">
        <is>
          <t>Master Model G10 Grizzly XL Relapse_TwoAge_B10</t>
        </is>
      </c>
      <c r="C257" s="4" t="inlineStr">
        <is>
          <t>JAGS_Female_2000</t>
        </is>
      </c>
      <c r="D257" s="5" t="n">
        <v>0.1</v>
      </c>
      <c r="E257" s="4" t="inlineStr">
        <is>
          <t>Variable</t>
        </is>
      </c>
      <c r="F257" s="4" t="inlineStr">
        <is>
          <t>Smoking initiation and cessation variable</t>
        </is>
      </c>
      <c r="G257" s="4" t="inlineStr">
        <is>
          <t>68 - 72</t>
        </is>
      </c>
      <c r="H257" s="4" t="inlineStr">
        <is>
          <t>DIFF_ALL</t>
        </is>
      </c>
      <c r="I257" s="6" t="n">
        <v>7.796792</v>
      </c>
      <c r="J257" s="7" t="n">
        <v>0.01</v>
      </c>
      <c r="K257" s="7" t="n">
        <v>0.009999999776482582</v>
      </c>
      <c r="L257" s="4" t="inlineStr">
        <is>
          <t>N/A</t>
        </is>
      </c>
      <c r="M257" s="4" t="inlineStr">
        <is>
          <t>N/A</t>
        </is>
      </c>
      <c r="N257" s="4" t="inlineStr">
        <is>
          <t>N/A</t>
        </is>
      </c>
      <c r="O257" s="4" t="inlineStr">
        <is>
          <t>N/A</t>
        </is>
      </c>
      <c r="P257" s="4" t="inlineStr">
        <is>
          <t>N/A</t>
        </is>
      </c>
      <c r="Q257" s="4" t="inlineStr">
        <is>
          <t>N/A</t>
        </is>
      </c>
      <c r="R257" s="8" t="n">
        <v>46254.77550837963</v>
      </c>
      <c r="S257" s="4" t="inlineStr">
        <is>
          <t>3.0.0</t>
        </is>
      </c>
      <c r="T257" s="4" t="inlineStr">
        <is>
          <t>1.8</t>
        </is>
      </c>
    </row>
    <row r="258">
      <c r="A258" s="4" t="inlineStr">
        <is>
          <t>Grizzly XL YO</t>
        </is>
      </c>
      <c r="B258" s="4" t="inlineStr">
        <is>
          <t>Master Model G10 Grizzly XL Relapse_TwoAge_B10</t>
        </is>
      </c>
      <c r="C258" s="4" t="inlineStr">
        <is>
          <t>JAGS_Female_2000</t>
        </is>
      </c>
      <c r="D258" s="5" t="n">
        <v>0.1</v>
      </c>
      <c r="E258" s="4" t="inlineStr">
        <is>
          <t>Variable</t>
        </is>
      </c>
      <c r="F258" s="4" t="inlineStr">
        <is>
          <t>Smoking initiation and cessation variable</t>
        </is>
      </c>
      <c r="G258" s="4" t="inlineStr">
        <is>
          <t>68 - 72</t>
        </is>
      </c>
      <c r="H258" s="4" t="inlineStr">
        <is>
          <t>ALL.T</t>
        </is>
      </c>
      <c r="I258" s="6" t="n">
        <v>784965.999357</v>
      </c>
      <c r="J258" s="7" t="n">
        <v>0.01</v>
      </c>
      <c r="K258" s="7" t="n">
        <v>0.009999999776482582</v>
      </c>
      <c r="L258" s="4" t="inlineStr">
        <is>
          <t>N/A</t>
        </is>
      </c>
      <c r="M258" s="4" t="inlineStr">
        <is>
          <t>N/A</t>
        </is>
      </c>
      <c r="N258" s="4" t="inlineStr">
        <is>
          <t>N/A</t>
        </is>
      </c>
      <c r="O258" s="4" t="inlineStr">
        <is>
          <t>N/A</t>
        </is>
      </c>
      <c r="P258" s="4" t="inlineStr">
        <is>
          <t>N/A</t>
        </is>
      </c>
      <c r="Q258" s="4" t="inlineStr">
        <is>
          <t>N/A</t>
        </is>
      </c>
      <c r="R258" s="8" t="n">
        <v>46254.77550837963</v>
      </c>
      <c r="S258" s="4" t="inlineStr">
        <is>
          <t>3.0.0</t>
        </is>
      </c>
      <c r="T258" s="4" t="inlineStr">
        <is>
          <t>1.8</t>
        </is>
      </c>
    </row>
    <row r="259">
      <c r="A259" s="4" t="inlineStr">
        <is>
          <t>Grizzly XL YO</t>
        </is>
      </c>
      <c r="B259" s="4" t="inlineStr">
        <is>
          <t>Master Model G10 Grizzly XL Relapse_TwoAge_B11</t>
        </is>
      </c>
      <c r="C259" s="4" t="inlineStr">
        <is>
          <t>JAGS_Male_2000</t>
        </is>
      </c>
      <c r="D259" s="5" t="n">
        <v>0.05</v>
      </c>
      <c r="E259" s="4" t="inlineStr">
        <is>
          <t>Variable</t>
        </is>
      </c>
      <c r="F259" s="4" t="inlineStr">
        <is>
          <t>Smoking initiation and cessation variable</t>
        </is>
      </c>
      <c r="G259" s="4" t="inlineStr">
        <is>
          <t>68 - 72</t>
        </is>
      </c>
      <c r="H259" s="4" t="inlineStr">
        <is>
          <t>DIFF_ALL</t>
        </is>
      </c>
      <c r="I259" s="6" t="n">
        <v>2.221931</v>
      </c>
      <c r="J259" s="7" t="n">
        <v>0.01</v>
      </c>
      <c r="K259" s="7" t="n">
        <v>0.009999999776482582</v>
      </c>
      <c r="L259" s="4" t="inlineStr">
        <is>
          <t>N/A</t>
        </is>
      </c>
      <c r="M259" s="4" t="inlineStr">
        <is>
          <t>N/A</t>
        </is>
      </c>
      <c r="N259" s="4" t="inlineStr">
        <is>
          <t>N/A</t>
        </is>
      </c>
      <c r="O259" s="4" t="inlineStr">
        <is>
          <t>N/A</t>
        </is>
      </c>
      <c r="P259" s="4" t="inlineStr">
        <is>
          <t>N/A</t>
        </is>
      </c>
      <c r="Q259" s="4" t="inlineStr">
        <is>
          <t>N/A</t>
        </is>
      </c>
      <c r="R259" s="8" t="n">
        <v>46254.77572813658</v>
      </c>
      <c r="S259" s="4" t="inlineStr">
        <is>
          <t>3.0.0</t>
        </is>
      </c>
      <c r="T259" s="4" t="inlineStr">
        <is>
          <t>1.8</t>
        </is>
      </c>
    </row>
    <row r="260">
      <c r="A260" s="4" t="inlineStr">
        <is>
          <t>Grizzly XL YO</t>
        </is>
      </c>
      <c r="B260" s="4" t="inlineStr">
        <is>
          <t>Master Model G10 Grizzly XL Relapse_TwoAge_B11</t>
        </is>
      </c>
      <c r="C260" s="4" t="inlineStr">
        <is>
          <t>JAGS_Male_2000</t>
        </is>
      </c>
      <c r="D260" s="5" t="n">
        <v>0.05</v>
      </c>
      <c r="E260" s="4" t="inlineStr">
        <is>
          <t>Variable</t>
        </is>
      </c>
      <c r="F260" s="4" t="inlineStr">
        <is>
          <t>Smoking initiation and cessation variable</t>
        </is>
      </c>
      <c r="G260" s="4" t="inlineStr">
        <is>
          <t>68 - 72</t>
        </is>
      </c>
      <c r="H260" s="4" t="inlineStr">
        <is>
          <t>ALL.T</t>
        </is>
      </c>
      <c r="I260" s="6" t="n">
        <v>678766.9316989999</v>
      </c>
      <c r="J260" s="7" t="n">
        <v>0.01</v>
      </c>
      <c r="K260" s="7" t="n">
        <v>0.009999999776482582</v>
      </c>
      <c r="L260" s="4" t="inlineStr">
        <is>
          <t>N/A</t>
        </is>
      </c>
      <c r="M260" s="4" t="inlineStr">
        <is>
          <t>N/A</t>
        </is>
      </c>
      <c r="N260" s="4" t="inlineStr">
        <is>
          <t>N/A</t>
        </is>
      </c>
      <c r="O260" s="4" t="inlineStr">
        <is>
          <t>N/A</t>
        </is>
      </c>
      <c r="P260" s="4" t="inlineStr">
        <is>
          <t>N/A</t>
        </is>
      </c>
      <c r="Q260" s="4" t="inlineStr">
        <is>
          <t>N/A</t>
        </is>
      </c>
      <c r="R260" s="8" t="n">
        <v>46254.77572813658</v>
      </c>
      <c r="S260" s="4" t="inlineStr">
        <is>
          <t>3.0.0</t>
        </is>
      </c>
      <c r="T260" s="4" t="inlineStr">
        <is>
          <t>1.8</t>
        </is>
      </c>
    </row>
    <row r="261">
      <c r="A261" s="4" t="inlineStr">
        <is>
          <t>Grizzly XL YO</t>
        </is>
      </c>
      <c r="B261" s="4" t="inlineStr">
        <is>
          <t>Master Model G10 Grizzly XL Relapse_TwoAge_B11</t>
        </is>
      </c>
      <c r="C261" s="4" t="inlineStr">
        <is>
          <t>JAGS_Male_2000</t>
        </is>
      </c>
      <c r="D261" s="5" t="n">
        <v>0.1</v>
      </c>
      <c r="E261" s="4" t="inlineStr">
        <is>
          <t>Variable</t>
        </is>
      </c>
      <c r="F261" s="4" t="inlineStr">
        <is>
          <t>Smoking initiation and cessation variable</t>
        </is>
      </c>
      <c r="G261" s="4" t="inlineStr">
        <is>
          <t>68 - 72</t>
        </is>
      </c>
      <c r="H261" s="4" t="inlineStr">
        <is>
          <t>DIFF_ALL</t>
        </is>
      </c>
      <c r="I261" s="6" t="n">
        <v>2.064766</v>
      </c>
      <c r="J261" s="7" t="n">
        <v>0.01</v>
      </c>
      <c r="K261" s="7" t="n">
        <v>0.009999999776482582</v>
      </c>
      <c r="L261" s="4" t="inlineStr">
        <is>
          <t>N/A</t>
        </is>
      </c>
      <c r="M261" s="4" t="inlineStr">
        <is>
          <t>N/A</t>
        </is>
      </c>
      <c r="N261" s="4" t="inlineStr">
        <is>
          <t>N/A</t>
        </is>
      </c>
      <c r="O261" s="4" t="inlineStr">
        <is>
          <t>N/A</t>
        </is>
      </c>
      <c r="P261" s="4" t="inlineStr">
        <is>
          <t>N/A</t>
        </is>
      </c>
      <c r="Q261" s="4" t="inlineStr">
        <is>
          <t>N/A</t>
        </is>
      </c>
      <c r="R261" s="8" t="n">
        <v>46254.77574736111</v>
      </c>
      <c r="S261" s="4" t="inlineStr">
        <is>
          <t>3.0.0</t>
        </is>
      </c>
      <c r="T261" s="4" t="inlineStr">
        <is>
          <t>1.8</t>
        </is>
      </c>
    </row>
    <row r="262">
      <c r="A262" s="4" t="inlineStr">
        <is>
          <t>Grizzly XL YO</t>
        </is>
      </c>
      <c r="B262" s="4" t="inlineStr">
        <is>
          <t>Master Model G10 Grizzly XL Relapse_TwoAge_B11</t>
        </is>
      </c>
      <c r="C262" s="4" t="inlineStr">
        <is>
          <t>JAGS_Male_2000</t>
        </is>
      </c>
      <c r="D262" s="5" t="n">
        <v>0.1</v>
      </c>
      <c r="E262" s="4" t="inlineStr">
        <is>
          <t>Variable</t>
        </is>
      </c>
      <c r="F262" s="4" t="inlineStr">
        <is>
          <t>Smoking initiation and cessation variable</t>
        </is>
      </c>
      <c r="G262" s="4" t="inlineStr">
        <is>
          <t>68 - 72</t>
        </is>
      </c>
      <c r="H262" s="4" t="inlineStr">
        <is>
          <t>ALL.T</t>
        </is>
      </c>
      <c r="I262" s="6" t="n">
        <v>678766.774535</v>
      </c>
      <c r="J262" s="7" t="n">
        <v>0.01</v>
      </c>
      <c r="K262" s="7" t="n">
        <v>0.009999999776482582</v>
      </c>
      <c r="L262" s="4" t="inlineStr">
        <is>
          <t>N/A</t>
        </is>
      </c>
      <c r="M262" s="4" t="inlineStr">
        <is>
          <t>N/A</t>
        </is>
      </c>
      <c r="N262" s="4" t="inlineStr">
        <is>
          <t>N/A</t>
        </is>
      </c>
      <c r="O262" s="4" t="inlineStr">
        <is>
          <t>N/A</t>
        </is>
      </c>
      <c r="P262" s="4" t="inlineStr">
        <is>
          <t>N/A</t>
        </is>
      </c>
      <c r="Q262" s="4" t="inlineStr">
        <is>
          <t>N/A</t>
        </is>
      </c>
      <c r="R262" s="8" t="n">
        <v>46254.77574736111</v>
      </c>
      <c r="S262" s="4" t="inlineStr">
        <is>
          <t>3.0.0</t>
        </is>
      </c>
      <c r="T262" s="4" t="inlineStr">
        <is>
          <t>1.8</t>
        </is>
      </c>
    </row>
    <row r="263">
      <c r="A263" s="4" t="inlineStr">
        <is>
          <t>Grizzly XL YO</t>
        </is>
      </c>
      <c r="B263" s="4" t="inlineStr">
        <is>
          <t>Master Model G10 Grizzly XL Relapse_TwoAge_B11</t>
        </is>
      </c>
      <c r="C263" s="4" t="inlineStr">
        <is>
          <t>JAGS_Female_2000</t>
        </is>
      </c>
      <c r="D263" s="5" t="n">
        <v>0.05</v>
      </c>
      <c r="E263" s="4" t="inlineStr">
        <is>
          <t>Variable</t>
        </is>
      </c>
      <c r="F263" s="4" t="inlineStr">
        <is>
          <t>Smoking initiation and cessation variable</t>
        </is>
      </c>
      <c r="G263" s="4" t="inlineStr">
        <is>
          <t>68 - 72</t>
        </is>
      </c>
      <c r="H263" s="4" t="inlineStr">
        <is>
          <t>DIFF_ALL</t>
        </is>
      </c>
      <c r="I263" s="6" t="n">
        <v>2.178981</v>
      </c>
      <c r="J263" s="7" t="n">
        <v>0.01</v>
      </c>
      <c r="K263" s="7" t="n">
        <v>0.009999999776482582</v>
      </c>
      <c r="L263" s="4" t="inlineStr">
        <is>
          <t>N/A</t>
        </is>
      </c>
      <c r="M263" s="4" t="inlineStr">
        <is>
          <t>N/A</t>
        </is>
      </c>
      <c r="N263" s="4" t="inlineStr">
        <is>
          <t>N/A</t>
        </is>
      </c>
      <c r="O263" s="4" t="inlineStr">
        <is>
          <t>N/A</t>
        </is>
      </c>
      <c r="P263" s="4" t="inlineStr">
        <is>
          <t>N/A</t>
        </is>
      </c>
      <c r="Q263" s="4" t="inlineStr">
        <is>
          <t>N/A</t>
        </is>
      </c>
      <c r="R263" s="8" t="n">
        <v>46254.77577553241</v>
      </c>
      <c r="S263" s="4" t="inlineStr">
        <is>
          <t>3.0.0</t>
        </is>
      </c>
      <c r="T263" s="4" t="inlineStr">
        <is>
          <t>1.8</t>
        </is>
      </c>
    </row>
    <row r="264">
      <c r="A264" s="4" t="inlineStr">
        <is>
          <t>Grizzly XL YO</t>
        </is>
      </c>
      <c r="B264" s="4" t="inlineStr">
        <is>
          <t>Master Model G10 Grizzly XL Relapse_TwoAge_B11</t>
        </is>
      </c>
      <c r="C264" s="4" t="inlineStr">
        <is>
          <t>JAGS_Female_2000</t>
        </is>
      </c>
      <c r="D264" s="5" t="n">
        <v>0.05</v>
      </c>
      <c r="E264" s="4" t="inlineStr">
        <is>
          <t>Variable</t>
        </is>
      </c>
      <c r="F264" s="4" t="inlineStr">
        <is>
          <t>Smoking initiation and cessation variable</t>
        </is>
      </c>
      <c r="G264" s="4" t="inlineStr">
        <is>
          <t>68 - 72</t>
        </is>
      </c>
      <c r="H264" s="4" t="inlineStr">
        <is>
          <t>ALL.T</t>
        </is>
      </c>
      <c r="I264" s="6" t="n">
        <v>784962.685371</v>
      </c>
      <c r="J264" s="7" t="n">
        <v>0.01</v>
      </c>
      <c r="K264" s="7" t="n">
        <v>0.009999999776482582</v>
      </c>
      <c r="L264" s="4" t="inlineStr">
        <is>
          <t>N/A</t>
        </is>
      </c>
      <c r="M264" s="4" t="inlineStr">
        <is>
          <t>N/A</t>
        </is>
      </c>
      <c r="N264" s="4" t="inlineStr">
        <is>
          <t>N/A</t>
        </is>
      </c>
      <c r="O264" s="4" t="inlineStr">
        <is>
          <t>N/A</t>
        </is>
      </c>
      <c r="P264" s="4" t="inlineStr">
        <is>
          <t>N/A</t>
        </is>
      </c>
      <c r="Q264" s="4" t="inlineStr">
        <is>
          <t>N/A</t>
        </is>
      </c>
      <c r="R264" s="8" t="n">
        <v>46254.77577553241</v>
      </c>
      <c r="S264" s="4" t="inlineStr">
        <is>
          <t>3.0.0</t>
        </is>
      </c>
      <c r="T264" s="4" t="inlineStr">
        <is>
          <t>1.8</t>
        </is>
      </c>
    </row>
    <row r="265">
      <c r="A265" s="4" t="inlineStr">
        <is>
          <t>Grizzly XL YO</t>
        </is>
      </c>
      <c r="B265" s="4" t="inlineStr">
        <is>
          <t>Master Model G10 Grizzly XL Relapse_TwoAge_B11</t>
        </is>
      </c>
      <c r="C265" s="4" t="inlineStr">
        <is>
          <t>JAGS_Female_2000</t>
        </is>
      </c>
      <c r="D265" s="5" t="n">
        <v>0.1</v>
      </c>
      <c r="E265" s="4" t="inlineStr">
        <is>
          <t>Variable</t>
        </is>
      </c>
      <c r="F265" s="4" t="inlineStr">
        <is>
          <t>Smoking initiation and cessation variable</t>
        </is>
      </c>
      <c r="G265" s="4" t="inlineStr">
        <is>
          <t>68 - 72</t>
        </is>
      </c>
      <c r="H265" s="4" t="inlineStr">
        <is>
          <t>DIFF_ALL</t>
        </is>
      </c>
      <c r="I265" s="6" t="n">
        <v>2.02489</v>
      </c>
      <c r="J265" s="7" t="n">
        <v>0.01</v>
      </c>
      <c r="K265" s="7" t="n">
        <v>0.009999999776482582</v>
      </c>
      <c r="L265" s="4" t="inlineStr">
        <is>
          <t>N/A</t>
        </is>
      </c>
      <c r="M265" s="4" t="inlineStr">
        <is>
          <t>N/A</t>
        </is>
      </c>
      <c r="N265" s="4" t="inlineStr">
        <is>
          <t>N/A</t>
        </is>
      </c>
      <c r="O265" s="4" t="inlineStr">
        <is>
          <t>N/A</t>
        </is>
      </c>
      <c r="P265" s="4" t="inlineStr">
        <is>
          <t>N/A</t>
        </is>
      </c>
      <c r="Q265" s="4" t="inlineStr">
        <is>
          <t>N/A</t>
        </is>
      </c>
      <c r="R265" s="8" t="n">
        <v>46254.77578913194</v>
      </c>
      <c r="S265" s="4" t="inlineStr">
        <is>
          <t>3.0.0</t>
        </is>
      </c>
      <c r="T265" s="4" t="inlineStr">
        <is>
          <t>1.8</t>
        </is>
      </c>
    </row>
    <row r="266">
      <c r="A266" s="4" t="inlineStr">
        <is>
          <t>Grizzly XL YO</t>
        </is>
      </c>
      <c r="B266" s="4" t="inlineStr">
        <is>
          <t>Master Model G10 Grizzly XL Relapse_TwoAge_B11</t>
        </is>
      </c>
      <c r="C266" s="4" t="inlineStr">
        <is>
          <t>JAGS_Female_2000</t>
        </is>
      </c>
      <c r="D266" s="5" t="n">
        <v>0.1</v>
      </c>
      <c r="E266" s="4" t="inlineStr">
        <is>
          <t>Variable</t>
        </is>
      </c>
      <c r="F266" s="4" t="inlineStr">
        <is>
          <t>Smoking initiation and cessation variable</t>
        </is>
      </c>
      <c r="G266" s="4" t="inlineStr">
        <is>
          <t>68 - 72</t>
        </is>
      </c>
      <c r="H266" s="4" t="inlineStr">
        <is>
          <t>ALL.T</t>
        </is>
      </c>
      <c r="I266" s="6" t="n">
        <v>784962.531281</v>
      </c>
      <c r="J266" s="7" t="n">
        <v>0.01</v>
      </c>
      <c r="K266" s="7" t="n">
        <v>0.009999999776482582</v>
      </c>
      <c r="L266" s="4" t="inlineStr">
        <is>
          <t>N/A</t>
        </is>
      </c>
      <c r="M266" s="4" t="inlineStr">
        <is>
          <t>N/A</t>
        </is>
      </c>
      <c r="N266" s="4" t="inlineStr">
        <is>
          <t>N/A</t>
        </is>
      </c>
      <c r="O266" s="4" t="inlineStr">
        <is>
          <t>N/A</t>
        </is>
      </c>
      <c r="P266" s="4" t="inlineStr">
        <is>
          <t>N/A</t>
        </is>
      </c>
      <c r="Q266" s="4" t="inlineStr">
        <is>
          <t>N/A</t>
        </is>
      </c>
      <c r="R266" s="8" t="n">
        <v>46254.77578913194</v>
      </c>
      <c r="S266" s="4" t="inlineStr">
        <is>
          <t>3.0.0</t>
        </is>
      </c>
      <c r="T266" s="4" t="inlineStr">
        <is>
          <t>1.8</t>
        </is>
      </c>
    </row>
    <row r="267">
      <c r="A267" s="4" t="inlineStr">
        <is>
          <t>Grizzly XL YO</t>
        </is>
      </c>
      <c r="B267" s="4" t="inlineStr">
        <is>
          <t>Master Model G25 Grizzly XL Relapse_TwoAge_B01</t>
        </is>
      </c>
      <c r="C267" s="4" t="inlineStr">
        <is>
          <t>JAGS_Male_2000</t>
        </is>
      </c>
      <c r="D267" s="5" t="n">
        <v>0.05</v>
      </c>
      <c r="E267" s="4" t="inlineStr">
        <is>
          <t>Variable</t>
        </is>
      </c>
      <c r="F267" s="4" t="inlineStr">
        <is>
          <t>Smoking initiation and cessation variable</t>
        </is>
      </c>
      <c r="G267" s="4" t="inlineStr">
        <is>
          <t>68 - 72</t>
        </is>
      </c>
      <c r="H267" s="4" t="inlineStr">
        <is>
          <t>DIFF_ALL</t>
        </is>
      </c>
      <c r="I267" s="6" t="n">
        <v>2299.93379</v>
      </c>
      <c r="J267" s="7" t="n">
        <v>0.01</v>
      </c>
      <c r="K267" s="7" t="n">
        <v>0.009999999776482582</v>
      </c>
      <c r="L267" s="4" t="inlineStr">
        <is>
          <t>N/A</t>
        </is>
      </c>
      <c r="M267" s="4" t="inlineStr">
        <is>
          <t>N/A</t>
        </is>
      </c>
      <c r="N267" s="4" t="inlineStr">
        <is>
          <t>N/A</t>
        </is>
      </c>
      <c r="O267" s="4" t="inlineStr">
        <is>
          <t>N/A</t>
        </is>
      </c>
      <c r="P267" s="4" t="inlineStr">
        <is>
          <t>N/A</t>
        </is>
      </c>
      <c r="Q267" s="4" t="inlineStr">
        <is>
          <t>N/A</t>
        </is>
      </c>
      <c r="R267" s="8" t="n">
        <v>46254.78318943287</v>
      </c>
      <c r="S267" s="4" t="inlineStr">
        <is>
          <t>3.0.0</t>
        </is>
      </c>
      <c r="T267" s="4" t="inlineStr">
        <is>
          <t>1.8</t>
        </is>
      </c>
    </row>
    <row r="268">
      <c r="A268" s="4" t="inlineStr">
        <is>
          <t>Grizzly XL YO</t>
        </is>
      </c>
      <c r="B268" s="4" t="inlineStr">
        <is>
          <t>Master Model G25 Grizzly XL Relapse_TwoAge_B01</t>
        </is>
      </c>
      <c r="C268" s="4" t="inlineStr">
        <is>
          <t>JAGS_Male_2000</t>
        </is>
      </c>
      <c r="D268" s="5" t="n">
        <v>0.05</v>
      </c>
      <c r="E268" s="4" t="inlineStr">
        <is>
          <t>Variable</t>
        </is>
      </c>
      <c r="F268" s="4" t="inlineStr">
        <is>
          <t>Smoking initiation and cessation variable</t>
        </is>
      </c>
      <c r="G268" s="4" t="inlineStr">
        <is>
          <t>68 - 72</t>
        </is>
      </c>
      <c r="H268" s="4" t="inlineStr">
        <is>
          <t>ALL.T</t>
        </is>
      </c>
      <c r="I268" s="6" t="n">
        <v>680818.235139</v>
      </c>
      <c r="J268" s="7" t="n">
        <v>0.01</v>
      </c>
      <c r="K268" s="7" t="n">
        <v>0.009999999776482582</v>
      </c>
      <c r="L268" s="4" t="inlineStr">
        <is>
          <t>N/A</t>
        </is>
      </c>
      <c r="M268" s="4" t="inlineStr">
        <is>
          <t>N/A</t>
        </is>
      </c>
      <c r="N268" s="4" t="inlineStr">
        <is>
          <t>N/A</t>
        </is>
      </c>
      <c r="O268" s="4" t="inlineStr">
        <is>
          <t>N/A</t>
        </is>
      </c>
      <c r="P268" s="4" t="inlineStr">
        <is>
          <t>N/A</t>
        </is>
      </c>
      <c r="Q268" s="4" t="inlineStr">
        <is>
          <t>N/A</t>
        </is>
      </c>
      <c r="R268" s="8" t="n">
        <v>46254.78318943287</v>
      </c>
      <c r="S268" s="4" t="inlineStr">
        <is>
          <t>3.0.0</t>
        </is>
      </c>
      <c r="T268" s="4" t="inlineStr">
        <is>
          <t>1.8</t>
        </is>
      </c>
    </row>
    <row r="269">
      <c r="A269" s="4" t="inlineStr">
        <is>
          <t>Grizzly XL YO</t>
        </is>
      </c>
      <c r="B269" s="4" t="inlineStr">
        <is>
          <t>Master Model G25 Grizzly XL Relapse_TwoAge_B01</t>
        </is>
      </c>
      <c r="C269" s="4" t="inlineStr">
        <is>
          <t>JAGS_Male_2000</t>
        </is>
      </c>
      <c r="D269" s="5" t="n">
        <v>0.1</v>
      </c>
      <c r="E269" s="4" t="inlineStr">
        <is>
          <t>Variable</t>
        </is>
      </c>
      <c r="F269" s="4" t="inlineStr">
        <is>
          <t>Smoking initiation and cessation variable</t>
        </is>
      </c>
      <c r="G269" s="4" t="inlineStr">
        <is>
          <t>68 - 72</t>
        </is>
      </c>
      <c r="H269" s="4" t="inlineStr">
        <is>
          <t>DIFF_ALL</t>
        </is>
      </c>
      <c r="I269" s="6" t="n">
        <v>1752.896205</v>
      </c>
      <c r="J269" s="7" t="n">
        <v>0.01</v>
      </c>
      <c r="K269" s="7" t="n">
        <v>0.009999999776482582</v>
      </c>
      <c r="L269" s="4" t="inlineStr">
        <is>
          <t>N/A</t>
        </is>
      </c>
      <c r="M269" s="4" t="inlineStr">
        <is>
          <t>N/A</t>
        </is>
      </c>
      <c r="N269" s="4" t="inlineStr">
        <is>
          <t>N/A</t>
        </is>
      </c>
      <c r="O269" s="4" t="inlineStr">
        <is>
          <t>N/A</t>
        </is>
      </c>
      <c r="P269" s="4" t="inlineStr">
        <is>
          <t>N/A</t>
        </is>
      </c>
      <c r="Q269" s="4" t="inlineStr">
        <is>
          <t>N/A</t>
        </is>
      </c>
      <c r="R269" s="8" t="n">
        <v>46254.78318988426</v>
      </c>
      <c r="S269" s="4" t="inlineStr">
        <is>
          <t>3.0.0</t>
        </is>
      </c>
      <c r="T269" s="4" t="inlineStr">
        <is>
          <t>1.8</t>
        </is>
      </c>
    </row>
    <row r="270">
      <c r="A270" s="4" t="inlineStr">
        <is>
          <t>Grizzly XL YO</t>
        </is>
      </c>
      <c r="B270" s="4" t="inlineStr">
        <is>
          <t>Master Model G25 Grizzly XL Relapse_TwoAge_B01</t>
        </is>
      </c>
      <c r="C270" s="4" t="inlineStr">
        <is>
          <t>JAGS_Male_2000</t>
        </is>
      </c>
      <c r="D270" s="5" t="n">
        <v>0.1</v>
      </c>
      <c r="E270" s="4" t="inlineStr">
        <is>
          <t>Variable</t>
        </is>
      </c>
      <c r="F270" s="4" t="inlineStr">
        <is>
          <t>Smoking initiation and cessation variable</t>
        </is>
      </c>
      <c r="G270" s="4" t="inlineStr">
        <is>
          <t>68 - 72</t>
        </is>
      </c>
      <c r="H270" s="4" t="inlineStr">
        <is>
          <t>ALL.T</t>
        </is>
      </c>
      <c r="I270" s="6" t="n">
        <v>680271.197554</v>
      </c>
      <c r="J270" s="7" t="n">
        <v>0.01</v>
      </c>
      <c r="K270" s="7" t="n">
        <v>0.009999999776482582</v>
      </c>
      <c r="L270" s="4" t="inlineStr">
        <is>
          <t>N/A</t>
        </is>
      </c>
      <c r="M270" s="4" t="inlineStr">
        <is>
          <t>N/A</t>
        </is>
      </c>
      <c r="N270" s="4" t="inlineStr">
        <is>
          <t>N/A</t>
        </is>
      </c>
      <c r="O270" s="4" t="inlineStr">
        <is>
          <t>N/A</t>
        </is>
      </c>
      <c r="P270" s="4" t="inlineStr">
        <is>
          <t>N/A</t>
        </is>
      </c>
      <c r="Q270" s="4" t="inlineStr">
        <is>
          <t>N/A</t>
        </is>
      </c>
      <c r="R270" s="8" t="n">
        <v>46254.78318988426</v>
      </c>
      <c r="S270" s="4" t="inlineStr">
        <is>
          <t>3.0.0</t>
        </is>
      </c>
      <c r="T270" s="4" t="inlineStr">
        <is>
          <t>1.8</t>
        </is>
      </c>
    </row>
    <row r="271">
      <c r="A271" s="4" t="inlineStr">
        <is>
          <t>Grizzly XL YO</t>
        </is>
      </c>
      <c r="B271" s="4" t="inlineStr">
        <is>
          <t>Master Model G25 Grizzly XL Relapse_TwoAge_B01</t>
        </is>
      </c>
      <c r="C271" s="4" t="inlineStr">
        <is>
          <t>JAGS_Female_2000</t>
        </is>
      </c>
      <c r="D271" s="5" t="n">
        <v>0.05</v>
      </c>
      <c r="E271" s="4" t="inlineStr">
        <is>
          <t>Variable</t>
        </is>
      </c>
      <c r="F271" s="4" t="inlineStr">
        <is>
          <t>Smoking initiation and cessation variable</t>
        </is>
      </c>
      <c r="G271" s="4" t="inlineStr">
        <is>
          <t>68 - 72</t>
        </is>
      </c>
      <c r="H271" s="4" t="inlineStr">
        <is>
          <t>DIFF_ALL</t>
        </is>
      </c>
      <c r="I271" s="6" t="n">
        <v>1947.94958</v>
      </c>
      <c r="J271" s="7" t="n">
        <v>0.01</v>
      </c>
      <c r="K271" s="7" t="n">
        <v>0.009999999776482582</v>
      </c>
      <c r="L271" s="4" t="inlineStr">
        <is>
          <t>N/A</t>
        </is>
      </c>
      <c r="M271" s="4" t="inlineStr">
        <is>
          <t>N/A</t>
        </is>
      </c>
      <c r="N271" s="4" t="inlineStr">
        <is>
          <t>N/A</t>
        </is>
      </c>
      <c r="O271" s="4" t="inlineStr">
        <is>
          <t>N/A</t>
        </is>
      </c>
      <c r="P271" s="4" t="inlineStr">
        <is>
          <t>N/A</t>
        </is>
      </c>
      <c r="Q271" s="4" t="inlineStr">
        <is>
          <t>N/A</t>
        </is>
      </c>
      <c r="R271" s="8" t="n">
        <v>46254.7831903125</v>
      </c>
      <c r="S271" s="4" t="inlineStr">
        <is>
          <t>3.0.0</t>
        </is>
      </c>
      <c r="T271" s="4" t="inlineStr">
        <is>
          <t>1.8</t>
        </is>
      </c>
    </row>
    <row r="272">
      <c r="A272" s="4" t="inlineStr">
        <is>
          <t>Grizzly XL YO</t>
        </is>
      </c>
      <c r="B272" s="4" t="inlineStr">
        <is>
          <t>Master Model G25 Grizzly XL Relapse_TwoAge_B01</t>
        </is>
      </c>
      <c r="C272" s="4" t="inlineStr">
        <is>
          <t>JAGS_Female_2000</t>
        </is>
      </c>
      <c r="D272" s="5" t="n">
        <v>0.05</v>
      </c>
      <c r="E272" s="4" t="inlineStr">
        <is>
          <t>Variable</t>
        </is>
      </c>
      <c r="F272" s="4" t="inlineStr">
        <is>
          <t>Smoking initiation and cessation variable</t>
        </is>
      </c>
      <c r="G272" s="4" t="inlineStr">
        <is>
          <t>68 - 72</t>
        </is>
      </c>
      <c r="H272" s="4" t="inlineStr">
        <is>
          <t>ALL.T</t>
        </is>
      </c>
      <c r="I272" s="6" t="n">
        <v>786713.142424</v>
      </c>
      <c r="J272" s="7" t="n">
        <v>0.01</v>
      </c>
      <c r="K272" s="7" t="n">
        <v>0.009999999776482582</v>
      </c>
      <c r="L272" s="4" t="inlineStr">
        <is>
          <t>N/A</t>
        </is>
      </c>
      <c r="M272" s="4" t="inlineStr">
        <is>
          <t>N/A</t>
        </is>
      </c>
      <c r="N272" s="4" t="inlineStr">
        <is>
          <t>N/A</t>
        </is>
      </c>
      <c r="O272" s="4" t="inlineStr">
        <is>
          <t>N/A</t>
        </is>
      </c>
      <c r="P272" s="4" t="inlineStr">
        <is>
          <t>N/A</t>
        </is>
      </c>
      <c r="Q272" s="4" t="inlineStr">
        <is>
          <t>N/A</t>
        </is>
      </c>
      <c r="R272" s="8" t="n">
        <v>46254.7831903125</v>
      </c>
      <c r="S272" s="4" t="inlineStr">
        <is>
          <t>3.0.0</t>
        </is>
      </c>
      <c r="T272" s="4" t="inlineStr">
        <is>
          <t>1.8</t>
        </is>
      </c>
    </row>
    <row r="273">
      <c r="A273" s="4" t="inlineStr">
        <is>
          <t>Grizzly XL YO</t>
        </is>
      </c>
      <c r="B273" s="4" t="inlineStr">
        <is>
          <t>Master Model G25 Grizzly XL Relapse_TwoAge_B01</t>
        </is>
      </c>
      <c r="C273" s="4" t="inlineStr">
        <is>
          <t>JAGS_Female_2000</t>
        </is>
      </c>
      <c r="D273" s="5" t="n">
        <v>0.1</v>
      </c>
      <c r="E273" s="4" t="inlineStr">
        <is>
          <t>Variable</t>
        </is>
      </c>
      <c r="F273" s="4" t="inlineStr">
        <is>
          <t>Smoking initiation and cessation variable</t>
        </is>
      </c>
      <c r="G273" s="4" t="inlineStr">
        <is>
          <t>68 - 72</t>
        </is>
      </c>
      <c r="H273" s="4" t="inlineStr">
        <is>
          <t>DIFF_ALL</t>
        </is>
      </c>
      <c r="I273" s="6" t="n">
        <v>1505.417094</v>
      </c>
      <c r="J273" s="7" t="n">
        <v>0.01</v>
      </c>
      <c r="K273" s="7" t="n">
        <v>0.009999999776482582</v>
      </c>
      <c r="L273" s="4" t="inlineStr">
        <is>
          <t>N/A</t>
        </is>
      </c>
      <c r="M273" s="4" t="inlineStr">
        <is>
          <t>N/A</t>
        </is>
      </c>
      <c r="N273" s="4" t="inlineStr">
        <is>
          <t>N/A</t>
        </is>
      </c>
      <c r="O273" s="4" t="inlineStr">
        <is>
          <t>N/A</t>
        </is>
      </c>
      <c r="P273" s="4" t="inlineStr">
        <is>
          <t>N/A</t>
        </is>
      </c>
      <c r="Q273" s="4" t="inlineStr">
        <is>
          <t>N/A</t>
        </is>
      </c>
      <c r="R273" s="8" t="n">
        <v>46254.78319077547</v>
      </c>
      <c r="S273" s="4" t="inlineStr">
        <is>
          <t>3.0.0</t>
        </is>
      </c>
      <c r="T273" s="4" t="inlineStr">
        <is>
          <t>1.8</t>
        </is>
      </c>
    </row>
    <row r="274">
      <c r="A274" s="4" t="inlineStr">
        <is>
          <t>Grizzly XL YO</t>
        </is>
      </c>
      <c r="B274" s="4" t="inlineStr">
        <is>
          <t>Master Model G25 Grizzly XL Relapse_TwoAge_B01</t>
        </is>
      </c>
      <c r="C274" s="4" t="inlineStr">
        <is>
          <t>JAGS_Female_2000</t>
        </is>
      </c>
      <c r="D274" s="5" t="n">
        <v>0.1</v>
      </c>
      <c r="E274" s="4" t="inlineStr">
        <is>
          <t>Variable</t>
        </is>
      </c>
      <c r="F274" s="4" t="inlineStr">
        <is>
          <t>Smoking initiation and cessation variable</t>
        </is>
      </c>
      <c r="G274" s="4" t="inlineStr">
        <is>
          <t>68 - 72</t>
        </is>
      </c>
      <c r="H274" s="4" t="inlineStr">
        <is>
          <t>ALL.T</t>
        </is>
      </c>
      <c r="I274" s="6" t="n">
        <v>786270.609939</v>
      </c>
      <c r="J274" s="7" t="n">
        <v>0.01</v>
      </c>
      <c r="K274" s="7" t="n">
        <v>0.009999999776482582</v>
      </c>
      <c r="L274" s="4" t="inlineStr">
        <is>
          <t>N/A</t>
        </is>
      </c>
      <c r="M274" s="4" t="inlineStr">
        <is>
          <t>N/A</t>
        </is>
      </c>
      <c r="N274" s="4" t="inlineStr">
        <is>
          <t>N/A</t>
        </is>
      </c>
      <c r="O274" s="4" t="inlineStr">
        <is>
          <t>N/A</t>
        </is>
      </c>
      <c r="P274" s="4" t="inlineStr">
        <is>
          <t>N/A</t>
        </is>
      </c>
      <c r="Q274" s="4" t="inlineStr">
        <is>
          <t>N/A</t>
        </is>
      </c>
      <c r="R274" s="8" t="n">
        <v>46254.78319077547</v>
      </c>
      <c r="S274" s="4" t="inlineStr">
        <is>
          <t>3.0.0</t>
        </is>
      </c>
      <c r="T274" s="4" t="inlineStr">
        <is>
          <t>1.8</t>
        </is>
      </c>
    </row>
    <row r="275">
      <c r="A275" s="4" t="inlineStr">
        <is>
          <t>Grizzly XL YO</t>
        </is>
      </c>
      <c r="B275" s="4" t="inlineStr">
        <is>
          <t>Master Model G25 Grizzly XL Relapse_TwoAge_B02</t>
        </is>
      </c>
      <c r="C275" s="4" t="inlineStr">
        <is>
          <t>JAGS_Male_2000</t>
        </is>
      </c>
      <c r="D275" s="5" t="n">
        <v>0.05</v>
      </c>
      <c r="E275" s="4" t="inlineStr">
        <is>
          <t>Variable</t>
        </is>
      </c>
      <c r="F275" s="4" t="inlineStr">
        <is>
          <t>Smoking initiation and cessation variable</t>
        </is>
      </c>
      <c r="G275" s="4" t="inlineStr">
        <is>
          <t>68 - 72</t>
        </is>
      </c>
      <c r="H275" s="4" t="inlineStr">
        <is>
          <t>DIFF_ALL</t>
        </is>
      </c>
      <c r="I275" s="6" t="n">
        <v>2119.653108</v>
      </c>
      <c r="J275" s="7" t="n">
        <v>0.01</v>
      </c>
      <c r="K275" s="7" t="n">
        <v>0.009999999776482582</v>
      </c>
      <c r="L275" s="4" t="inlineStr">
        <is>
          <t>N/A</t>
        </is>
      </c>
      <c r="M275" s="4" t="inlineStr">
        <is>
          <t>N/A</t>
        </is>
      </c>
      <c r="N275" s="4" t="inlineStr">
        <is>
          <t>N/A</t>
        </is>
      </c>
      <c r="O275" s="4" t="inlineStr">
        <is>
          <t>N/A</t>
        </is>
      </c>
      <c r="P275" s="4" t="inlineStr">
        <is>
          <t>N/A</t>
        </is>
      </c>
      <c r="Q275" s="4" t="inlineStr">
        <is>
          <t>N/A</t>
        </is>
      </c>
      <c r="R275" s="8" t="n">
        <v>46254.78519966435</v>
      </c>
      <c r="S275" s="4" t="inlineStr">
        <is>
          <t>3.0.0</t>
        </is>
      </c>
      <c r="T275" s="4" t="inlineStr">
        <is>
          <t>1.8</t>
        </is>
      </c>
    </row>
    <row r="276">
      <c r="A276" s="4" t="inlineStr">
        <is>
          <t>Grizzly XL YO</t>
        </is>
      </c>
      <c r="B276" s="4" t="inlineStr">
        <is>
          <t>Master Model G25 Grizzly XL Relapse_TwoAge_B02</t>
        </is>
      </c>
      <c r="C276" s="4" t="inlineStr">
        <is>
          <t>JAGS_Male_2000</t>
        </is>
      </c>
      <c r="D276" s="5" t="n">
        <v>0.05</v>
      </c>
      <c r="E276" s="4" t="inlineStr">
        <is>
          <t>Variable</t>
        </is>
      </c>
      <c r="F276" s="4" t="inlineStr">
        <is>
          <t>Smoking initiation and cessation variable</t>
        </is>
      </c>
      <c r="G276" s="4" t="inlineStr">
        <is>
          <t>68 - 72</t>
        </is>
      </c>
      <c r="H276" s="4" t="inlineStr">
        <is>
          <t>ALL.T</t>
        </is>
      </c>
      <c r="I276" s="6" t="n">
        <v>680637.954457</v>
      </c>
      <c r="J276" s="7" t="n">
        <v>0.01</v>
      </c>
      <c r="K276" s="7" t="n">
        <v>0.009999999776482582</v>
      </c>
      <c r="L276" s="4" t="inlineStr">
        <is>
          <t>N/A</t>
        </is>
      </c>
      <c r="M276" s="4" t="inlineStr">
        <is>
          <t>N/A</t>
        </is>
      </c>
      <c r="N276" s="4" t="inlineStr">
        <is>
          <t>N/A</t>
        </is>
      </c>
      <c r="O276" s="4" t="inlineStr">
        <is>
          <t>N/A</t>
        </is>
      </c>
      <c r="P276" s="4" t="inlineStr">
        <is>
          <t>N/A</t>
        </is>
      </c>
      <c r="Q276" s="4" t="inlineStr">
        <is>
          <t>N/A</t>
        </is>
      </c>
      <c r="R276" s="8" t="n">
        <v>46254.78519966435</v>
      </c>
      <c r="S276" s="4" t="inlineStr">
        <is>
          <t>3.0.0</t>
        </is>
      </c>
      <c r="T276" s="4" t="inlineStr">
        <is>
          <t>1.8</t>
        </is>
      </c>
    </row>
    <row r="277">
      <c r="A277" s="4" t="inlineStr">
        <is>
          <t>Grizzly XL YO</t>
        </is>
      </c>
      <c r="B277" s="4" t="inlineStr">
        <is>
          <t>Master Model G25 Grizzly XL Relapse_TwoAge_B02</t>
        </is>
      </c>
      <c r="C277" s="4" t="inlineStr">
        <is>
          <t>JAGS_Male_2000</t>
        </is>
      </c>
      <c r="D277" s="5" t="n">
        <v>0.1</v>
      </c>
      <c r="E277" s="4" t="inlineStr">
        <is>
          <t>Variable</t>
        </is>
      </c>
      <c r="F277" s="4" t="inlineStr">
        <is>
          <t>Smoking initiation and cessation variable</t>
        </is>
      </c>
      <c r="G277" s="4" t="inlineStr">
        <is>
          <t>68 - 72</t>
        </is>
      </c>
      <c r="H277" s="4" t="inlineStr">
        <is>
          <t>DIFF_ALL</t>
        </is>
      </c>
      <c r="I277" s="6" t="n">
        <v>1697.856774</v>
      </c>
      <c r="J277" s="7" t="n">
        <v>0.01</v>
      </c>
      <c r="K277" s="7" t="n">
        <v>0.009999999776482582</v>
      </c>
      <c r="L277" s="4" t="inlineStr">
        <is>
          <t>N/A</t>
        </is>
      </c>
      <c r="M277" s="4" t="inlineStr">
        <is>
          <t>N/A</t>
        </is>
      </c>
      <c r="N277" s="4" t="inlineStr">
        <is>
          <t>N/A</t>
        </is>
      </c>
      <c r="O277" s="4" t="inlineStr">
        <is>
          <t>N/A</t>
        </is>
      </c>
      <c r="P277" s="4" t="inlineStr">
        <is>
          <t>N/A</t>
        </is>
      </c>
      <c r="Q277" s="4" t="inlineStr">
        <is>
          <t>N/A</t>
        </is>
      </c>
      <c r="R277" s="8" t="n">
        <v>46254.78520011574</v>
      </c>
      <c r="S277" s="4" t="inlineStr">
        <is>
          <t>3.0.0</t>
        </is>
      </c>
      <c r="T277" s="4" t="inlineStr">
        <is>
          <t>1.8</t>
        </is>
      </c>
    </row>
    <row r="278">
      <c r="A278" s="4" t="inlineStr">
        <is>
          <t>Grizzly XL YO</t>
        </is>
      </c>
      <c r="B278" s="4" t="inlineStr">
        <is>
          <t>Master Model G25 Grizzly XL Relapse_TwoAge_B02</t>
        </is>
      </c>
      <c r="C278" s="4" t="inlineStr">
        <is>
          <t>JAGS_Male_2000</t>
        </is>
      </c>
      <c r="D278" s="5" t="n">
        <v>0.1</v>
      </c>
      <c r="E278" s="4" t="inlineStr">
        <is>
          <t>Variable</t>
        </is>
      </c>
      <c r="F278" s="4" t="inlineStr">
        <is>
          <t>Smoking initiation and cessation variable</t>
        </is>
      </c>
      <c r="G278" s="4" t="inlineStr">
        <is>
          <t>68 - 72</t>
        </is>
      </c>
      <c r="H278" s="4" t="inlineStr">
        <is>
          <t>ALL.T</t>
        </is>
      </c>
      <c r="I278" s="6" t="n">
        <v>680216.1581229999</v>
      </c>
      <c r="J278" s="7" t="n">
        <v>0.01</v>
      </c>
      <c r="K278" s="7" t="n">
        <v>0.009999999776482582</v>
      </c>
      <c r="L278" s="4" t="inlineStr">
        <is>
          <t>N/A</t>
        </is>
      </c>
      <c r="M278" s="4" t="inlineStr">
        <is>
          <t>N/A</t>
        </is>
      </c>
      <c r="N278" s="4" t="inlineStr">
        <is>
          <t>N/A</t>
        </is>
      </c>
      <c r="O278" s="4" t="inlineStr">
        <is>
          <t>N/A</t>
        </is>
      </c>
      <c r="P278" s="4" t="inlineStr">
        <is>
          <t>N/A</t>
        </is>
      </c>
      <c r="Q278" s="4" t="inlineStr">
        <is>
          <t>N/A</t>
        </is>
      </c>
      <c r="R278" s="8" t="n">
        <v>46254.78520011574</v>
      </c>
      <c r="S278" s="4" t="inlineStr">
        <is>
          <t>3.0.0</t>
        </is>
      </c>
      <c r="T278" s="4" t="inlineStr">
        <is>
          <t>1.8</t>
        </is>
      </c>
    </row>
    <row r="279">
      <c r="A279" s="4" t="inlineStr">
        <is>
          <t>Grizzly XL YO</t>
        </is>
      </c>
      <c r="B279" s="4" t="inlineStr">
        <is>
          <t>Master Model G25 Grizzly XL Relapse_TwoAge_B02</t>
        </is>
      </c>
      <c r="C279" s="4" t="inlineStr">
        <is>
          <t>JAGS_Female_2000</t>
        </is>
      </c>
      <c r="D279" s="5" t="n">
        <v>0.05</v>
      </c>
      <c r="E279" s="4" t="inlineStr">
        <is>
          <t>Variable</t>
        </is>
      </c>
      <c r="F279" s="4" t="inlineStr">
        <is>
          <t>Smoking initiation and cessation variable</t>
        </is>
      </c>
      <c r="G279" s="4" t="inlineStr">
        <is>
          <t>68 - 72</t>
        </is>
      </c>
      <c r="H279" s="4" t="inlineStr">
        <is>
          <t>DIFF_ALL</t>
        </is>
      </c>
      <c r="I279" s="6" t="n">
        <v>1764.212186</v>
      </c>
      <c r="J279" s="7" t="n">
        <v>0.01</v>
      </c>
      <c r="K279" s="7" t="n">
        <v>0.009999999776482582</v>
      </c>
      <c r="L279" s="4" t="inlineStr">
        <is>
          <t>N/A</t>
        </is>
      </c>
      <c r="M279" s="4" t="inlineStr">
        <is>
          <t>N/A</t>
        </is>
      </c>
      <c r="N279" s="4" t="inlineStr">
        <is>
          <t>N/A</t>
        </is>
      </c>
      <c r="O279" s="4" t="inlineStr">
        <is>
          <t>N/A</t>
        </is>
      </c>
      <c r="P279" s="4" t="inlineStr">
        <is>
          <t>N/A</t>
        </is>
      </c>
      <c r="Q279" s="4" t="inlineStr">
        <is>
          <t>N/A</t>
        </is>
      </c>
      <c r="R279" s="8" t="n">
        <v>46254.78520054398</v>
      </c>
      <c r="S279" s="4" t="inlineStr">
        <is>
          <t>3.0.0</t>
        </is>
      </c>
      <c r="T279" s="4" t="inlineStr">
        <is>
          <t>1.8</t>
        </is>
      </c>
    </row>
    <row r="280">
      <c r="A280" s="4" t="inlineStr">
        <is>
          <t>Grizzly XL YO</t>
        </is>
      </c>
      <c r="B280" s="4" t="inlineStr">
        <is>
          <t>Master Model G25 Grizzly XL Relapse_TwoAge_B02</t>
        </is>
      </c>
      <c r="C280" s="4" t="inlineStr">
        <is>
          <t>JAGS_Female_2000</t>
        </is>
      </c>
      <c r="D280" s="5" t="n">
        <v>0.05</v>
      </c>
      <c r="E280" s="4" t="inlineStr">
        <is>
          <t>Variable</t>
        </is>
      </c>
      <c r="F280" s="4" t="inlineStr">
        <is>
          <t>Smoking initiation and cessation variable</t>
        </is>
      </c>
      <c r="G280" s="4" t="inlineStr">
        <is>
          <t>68 - 72</t>
        </is>
      </c>
      <c r="H280" s="4" t="inlineStr">
        <is>
          <t>ALL.T</t>
        </is>
      </c>
      <c r="I280" s="6" t="n">
        <v>786529.40503</v>
      </c>
      <c r="J280" s="7" t="n">
        <v>0.01</v>
      </c>
      <c r="K280" s="7" t="n">
        <v>0.009999999776482582</v>
      </c>
      <c r="L280" s="4" t="inlineStr">
        <is>
          <t>N/A</t>
        </is>
      </c>
      <c r="M280" s="4" t="inlineStr">
        <is>
          <t>N/A</t>
        </is>
      </c>
      <c r="N280" s="4" t="inlineStr">
        <is>
          <t>N/A</t>
        </is>
      </c>
      <c r="O280" s="4" t="inlineStr">
        <is>
          <t>N/A</t>
        </is>
      </c>
      <c r="P280" s="4" t="inlineStr">
        <is>
          <t>N/A</t>
        </is>
      </c>
      <c r="Q280" s="4" t="inlineStr">
        <is>
          <t>N/A</t>
        </is>
      </c>
      <c r="R280" s="8" t="n">
        <v>46254.78520054398</v>
      </c>
      <c r="S280" s="4" t="inlineStr">
        <is>
          <t>3.0.0</t>
        </is>
      </c>
      <c r="T280" s="4" t="inlineStr">
        <is>
          <t>1.8</t>
        </is>
      </c>
    </row>
    <row r="281">
      <c r="A281" s="4" t="inlineStr">
        <is>
          <t>Grizzly XL YO</t>
        </is>
      </c>
      <c r="B281" s="4" t="inlineStr">
        <is>
          <t>Master Model G25 Grizzly XL Relapse_TwoAge_B02</t>
        </is>
      </c>
      <c r="C281" s="4" t="inlineStr">
        <is>
          <t>JAGS_Female_2000</t>
        </is>
      </c>
      <c r="D281" s="5" t="n">
        <v>0.1</v>
      </c>
      <c r="E281" s="4" t="inlineStr">
        <is>
          <t>Variable</t>
        </is>
      </c>
      <c r="F281" s="4" t="inlineStr">
        <is>
          <t>Smoking initiation and cessation variable</t>
        </is>
      </c>
      <c r="G281" s="4" t="inlineStr">
        <is>
          <t>68 - 72</t>
        </is>
      </c>
      <c r="H281" s="4" t="inlineStr">
        <is>
          <t>DIFF_ALL</t>
        </is>
      </c>
      <c r="I281" s="6" t="n">
        <v>1425.191367</v>
      </c>
      <c r="J281" s="7" t="n">
        <v>0.01</v>
      </c>
      <c r="K281" s="7" t="n">
        <v>0.009999999776482582</v>
      </c>
      <c r="L281" s="4" t="inlineStr">
        <is>
          <t>N/A</t>
        </is>
      </c>
      <c r="M281" s="4" t="inlineStr">
        <is>
          <t>N/A</t>
        </is>
      </c>
      <c r="N281" s="4" t="inlineStr">
        <is>
          <t>N/A</t>
        </is>
      </c>
      <c r="O281" s="4" t="inlineStr">
        <is>
          <t>N/A</t>
        </is>
      </c>
      <c r="P281" s="4" t="inlineStr">
        <is>
          <t>N/A</t>
        </is>
      </c>
      <c r="Q281" s="4" t="inlineStr">
        <is>
          <t>N/A</t>
        </is>
      </c>
      <c r="R281" s="8" t="n">
        <v>46254.7852009838</v>
      </c>
      <c r="S281" s="4" t="inlineStr">
        <is>
          <t>3.0.0</t>
        </is>
      </c>
      <c r="T281" s="4" t="inlineStr">
        <is>
          <t>1.8</t>
        </is>
      </c>
    </row>
    <row r="282">
      <c r="A282" s="4" t="inlineStr">
        <is>
          <t>Grizzly XL YO</t>
        </is>
      </c>
      <c r="B282" s="4" t="inlineStr">
        <is>
          <t>Master Model G25 Grizzly XL Relapse_TwoAge_B02</t>
        </is>
      </c>
      <c r="C282" s="4" t="inlineStr">
        <is>
          <t>JAGS_Female_2000</t>
        </is>
      </c>
      <c r="D282" s="5" t="n">
        <v>0.1</v>
      </c>
      <c r="E282" s="4" t="inlineStr">
        <is>
          <t>Variable</t>
        </is>
      </c>
      <c r="F282" s="4" t="inlineStr">
        <is>
          <t>Smoking initiation and cessation variable</t>
        </is>
      </c>
      <c r="G282" s="4" t="inlineStr">
        <is>
          <t>68 - 72</t>
        </is>
      </c>
      <c r="H282" s="4" t="inlineStr">
        <is>
          <t>ALL.T</t>
        </is>
      </c>
      <c r="I282" s="6" t="n">
        <v>786190.3842110001</v>
      </c>
      <c r="J282" s="7" t="n">
        <v>0.01</v>
      </c>
      <c r="K282" s="7" t="n">
        <v>0.009999999776482582</v>
      </c>
      <c r="L282" s="4" t="inlineStr">
        <is>
          <t>N/A</t>
        </is>
      </c>
      <c r="M282" s="4" t="inlineStr">
        <is>
          <t>N/A</t>
        </is>
      </c>
      <c r="N282" s="4" t="inlineStr">
        <is>
          <t>N/A</t>
        </is>
      </c>
      <c r="O282" s="4" t="inlineStr">
        <is>
          <t>N/A</t>
        </is>
      </c>
      <c r="P282" s="4" t="inlineStr">
        <is>
          <t>N/A</t>
        </is>
      </c>
      <c r="Q282" s="4" t="inlineStr">
        <is>
          <t>N/A</t>
        </is>
      </c>
      <c r="R282" s="8" t="n">
        <v>46254.7852009838</v>
      </c>
      <c r="S282" s="4" t="inlineStr">
        <is>
          <t>3.0.0</t>
        </is>
      </c>
      <c r="T282" s="4" t="inlineStr">
        <is>
          <t>1.8</t>
        </is>
      </c>
    </row>
    <row r="283">
      <c r="A283" s="4" t="inlineStr">
        <is>
          <t>Grizzly XL YO</t>
        </is>
      </c>
      <c r="B283" s="4" t="inlineStr">
        <is>
          <t>Master Model G25 Grizzly XL Relapse_TwoAge_B03</t>
        </is>
      </c>
      <c r="C283" s="4" t="inlineStr">
        <is>
          <t>JAGS_Male_2000</t>
        </is>
      </c>
      <c r="D283" s="5" t="n">
        <v>0.05</v>
      </c>
      <c r="E283" s="4" t="inlineStr">
        <is>
          <t>Variable</t>
        </is>
      </c>
      <c r="F283" s="4" t="inlineStr">
        <is>
          <t>Smoking initiation and cessation variable</t>
        </is>
      </c>
      <c r="G283" s="4" t="inlineStr">
        <is>
          <t>68 - 72</t>
        </is>
      </c>
      <c r="H283" s="4" t="inlineStr">
        <is>
          <t>DIFF_ALL</t>
        </is>
      </c>
      <c r="I283" s="6" t="n">
        <v>1500.934303</v>
      </c>
      <c r="J283" s="7" t="n">
        <v>0.01</v>
      </c>
      <c r="K283" s="7" t="n">
        <v>0.009999999776482582</v>
      </c>
      <c r="L283" s="4" t="inlineStr">
        <is>
          <t>N/A</t>
        </is>
      </c>
      <c r="M283" s="4" t="inlineStr">
        <is>
          <t>N/A</t>
        </is>
      </c>
      <c r="N283" s="4" t="inlineStr">
        <is>
          <t>N/A</t>
        </is>
      </c>
      <c r="O283" s="4" t="inlineStr">
        <is>
          <t>N/A</t>
        </is>
      </c>
      <c r="P283" s="4" t="inlineStr">
        <is>
          <t>N/A</t>
        </is>
      </c>
      <c r="Q283" s="4" t="inlineStr">
        <is>
          <t>N/A</t>
        </is>
      </c>
      <c r="R283" s="8" t="n">
        <v>46254.78664546296</v>
      </c>
      <c r="S283" s="4" t="inlineStr">
        <is>
          <t>3.0.0</t>
        </is>
      </c>
      <c r="T283" s="4" t="inlineStr">
        <is>
          <t>1.8</t>
        </is>
      </c>
    </row>
    <row r="284">
      <c r="A284" s="4" t="inlineStr">
        <is>
          <t>Grizzly XL YO</t>
        </is>
      </c>
      <c r="B284" s="4" t="inlineStr">
        <is>
          <t>Master Model G25 Grizzly XL Relapse_TwoAge_B03</t>
        </is>
      </c>
      <c r="C284" s="4" t="inlineStr">
        <is>
          <t>JAGS_Male_2000</t>
        </is>
      </c>
      <c r="D284" s="5" t="n">
        <v>0.05</v>
      </c>
      <c r="E284" s="4" t="inlineStr">
        <is>
          <t>Variable</t>
        </is>
      </c>
      <c r="F284" s="4" t="inlineStr">
        <is>
          <t>Smoking initiation and cessation variable</t>
        </is>
      </c>
      <c r="G284" s="4" t="inlineStr">
        <is>
          <t>68 - 72</t>
        </is>
      </c>
      <c r="H284" s="4" t="inlineStr">
        <is>
          <t>ALL.T</t>
        </is>
      </c>
      <c r="I284" s="6" t="n">
        <v>680019.2356519999</v>
      </c>
      <c r="J284" s="7" t="n">
        <v>0.01</v>
      </c>
      <c r="K284" s="7" t="n">
        <v>0.009999999776482582</v>
      </c>
      <c r="L284" s="4" t="inlineStr">
        <is>
          <t>N/A</t>
        </is>
      </c>
      <c r="M284" s="4" t="inlineStr">
        <is>
          <t>N/A</t>
        </is>
      </c>
      <c r="N284" s="4" t="inlineStr">
        <is>
          <t>N/A</t>
        </is>
      </c>
      <c r="O284" s="4" t="inlineStr">
        <is>
          <t>N/A</t>
        </is>
      </c>
      <c r="P284" s="4" t="inlineStr">
        <is>
          <t>N/A</t>
        </is>
      </c>
      <c r="Q284" s="4" t="inlineStr">
        <is>
          <t>N/A</t>
        </is>
      </c>
      <c r="R284" s="8" t="n">
        <v>46254.78664546296</v>
      </c>
      <c r="S284" s="4" t="inlineStr">
        <is>
          <t>3.0.0</t>
        </is>
      </c>
      <c r="T284" s="4" t="inlineStr">
        <is>
          <t>1.8</t>
        </is>
      </c>
    </row>
    <row r="285">
      <c r="A285" s="4" t="inlineStr">
        <is>
          <t>Grizzly XL YO</t>
        </is>
      </c>
      <c r="B285" s="4" t="inlineStr">
        <is>
          <t>Master Model G25 Grizzly XL Relapse_TwoAge_B03</t>
        </is>
      </c>
      <c r="C285" s="4" t="inlineStr">
        <is>
          <t>JAGS_Male_2000</t>
        </is>
      </c>
      <c r="D285" s="5" t="n">
        <v>0.1</v>
      </c>
      <c r="E285" s="4" t="inlineStr">
        <is>
          <t>Variable</t>
        </is>
      </c>
      <c r="F285" s="4" t="inlineStr">
        <is>
          <t>Smoking initiation and cessation variable</t>
        </is>
      </c>
      <c r="G285" s="4" t="inlineStr">
        <is>
          <t>68 - 72</t>
        </is>
      </c>
      <c r="H285" s="4" t="inlineStr">
        <is>
          <t>DIFF_ALL</t>
        </is>
      </c>
      <c r="I285" s="6" t="n">
        <v>1279.417157</v>
      </c>
      <c r="J285" s="7" t="n">
        <v>0.01</v>
      </c>
      <c r="K285" s="7" t="n">
        <v>0.009999999776482582</v>
      </c>
      <c r="L285" s="4" t="inlineStr">
        <is>
          <t>N/A</t>
        </is>
      </c>
      <c r="M285" s="4" t="inlineStr">
        <is>
          <t>N/A</t>
        </is>
      </c>
      <c r="N285" s="4" t="inlineStr">
        <is>
          <t>N/A</t>
        </is>
      </c>
      <c r="O285" s="4" t="inlineStr">
        <is>
          <t>N/A</t>
        </is>
      </c>
      <c r="P285" s="4" t="inlineStr">
        <is>
          <t>N/A</t>
        </is>
      </c>
      <c r="Q285" s="4" t="inlineStr">
        <is>
          <t>N/A</t>
        </is>
      </c>
      <c r="R285" s="8" t="n">
        <v>46254.78664592592</v>
      </c>
      <c r="S285" s="4" t="inlineStr">
        <is>
          <t>3.0.0</t>
        </is>
      </c>
      <c r="T285" s="4" t="inlineStr">
        <is>
          <t>1.8</t>
        </is>
      </c>
    </row>
    <row r="286">
      <c r="A286" s="4" t="inlineStr">
        <is>
          <t>Grizzly XL YO</t>
        </is>
      </c>
      <c r="B286" s="4" t="inlineStr">
        <is>
          <t>Master Model G25 Grizzly XL Relapse_TwoAge_B03</t>
        </is>
      </c>
      <c r="C286" s="4" t="inlineStr">
        <is>
          <t>JAGS_Male_2000</t>
        </is>
      </c>
      <c r="D286" s="5" t="n">
        <v>0.1</v>
      </c>
      <c r="E286" s="4" t="inlineStr">
        <is>
          <t>Variable</t>
        </is>
      </c>
      <c r="F286" s="4" t="inlineStr">
        <is>
          <t>Smoking initiation and cessation variable</t>
        </is>
      </c>
      <c r="G286" s="4" t="inlineStr">
        <is>
          <t>68 - 72</t>
        </is>
      </c>
      <c r="H286" s="4" t="inlineStr">
        <is>
          <t>ALL.T</t>
        </is>
      </c>
      <c r="I286" s="6" t="n">
        <v>679797.718506</v>
      </c>
      <c r="J286" s="7" t="n">
        <v>0.01</v>
      </c>
      <c r="K286" s="7" t="n">
        <v>0.009999999776482582</v>
      </c>
      <c r="L286" s="4" t="inlineStr">
        <is>
          <t>N/A</t>
        </is>
      </c>
      <c r="M286" s="4" t="inlineStr">
        <is>
          <t>N/A</t>
        </is>
      </c>
      <c r="N286" s="4" t="inlineStr">
        <is>
          <t>N/A</t>
        </is>
      </c>
      <c r="O286" s="4" t="inlineStr">
        <is>
          <t>N/A</t>
        </is>
      </c>
      <c r="P286" s="4" t="inlineStr">
        <is>
          <t>N/A</t>
        </is>
      </c>
      <c r="Q286" s="4" t="inlineStr">
        <is>
          <t>N/A</t>
        </is>
      </c>
      <c r="R286" s="8" t="n">
        <v>46254.78664592592</v>
      </c>
      <c r="S286" s="4" t="inlineStr">
        <is>
          <t>3.0.0</t>
        </is>
      </c>
      <c r="T286" s="4" t="inlineStr">
        <is>
          <t>1.8</t>
        </is>
      </c>
    </row>
    <row r="287">
      <c r="A287" s="4" t="inlineStr">
        <is>
          <t>Grizzly XL YO</t>
        </is>
      </c>
      <c r="B287" s="4" t="inlineStr">
        <is>
          <t>Master Model G25 Grizzly XL Relapse_TwoAge_B03</t>
        </is>
      </c>
      <c r="C287" s="4" t="inlineStr">
        <is>
          <t>JAGS_Female_2000</t>
        </is>
      </c>
      <c r="D287" s="5" t="n">
        <v>0.05</v>
      </c>
      <c r="E287" s="4" t="inlineStr">
        <is>
          <t>Variable</t>
        </is>
      </c>
      <c r="F287" s="4" t="inlineStr">
        <is>
          <t>Smoking initiation and cessation variable</t>
        </is>
      </c>
      <c r="G287" s="4" t="inlineStr">
        <is>
          <t>68 - 72</t>
        </is>
      </c>
      <c r="H287" s="4" t="inlineStr">
        <is>
          <t>DIFF_ALL</t>
        </is>
      </c>
      <c r="I287" s="6" t="n">
        <v>1198.844734</v>
      </c>
      <c r="J287" s="7" t="n">
        <v>0.01</v>
      </c>
      <c r="K287" s="7" t="n">
        <v>0.009999999776482582</v>
      </c>
      <c r="L287" s="4" t="inlineStr">
        <is>
          <t>N/A</t>
        </is>
      </c>
      <c r="M287" s="4" t="inlineStr">
        <is>
          <t>N/A</t>
        </is>
      </c>
      <c r="N287" s="4" t="inlineStr">
        <is>
          <t>N/A</t>
        </is>
      </c>
      <c r="O287" s="4" t="inlineStr">
        <is>
          <t>N/A</t>
        </is>
      </c>
      <c r="P287" s="4" t="inlineStr">
        <is>
          <t>N/A</t>
        </is>
      </c>
      <c r="Q287" s="4" t="inlineStr">
        <is>
          <t>N/A</t>
        </is>
      </c>
      <c r="R287" s="8" t="n">
        <v>46254.78664635416</v>
      </c>
      <c r="S287" s="4" t="inlineStr">
        <is>
          <t>3.0.0</t>
        </is>
      </c>
      <c r="T287" s="4" t="inlineStr">
        <is>
          <t>1.8</t>
        </is>
      </c>
    </row>
    <row r="288">
      <c r="A288" s="4" t="inlineStr">
        <is>
          <t>Grizzly XL YO</t>
        </is>
      </c>
      <c r="B288" s="4" t="inlineStr">
        <is>
          <t>Master Model G25 Grizzly XL Relapse_TwoAge_B03</t>
        </is>
      </c>
      <c r="C288" s="4" t="inlineStr">
        <is>
          <t>JAGS_Female_2000</t>
        </is>
      </c>
      <c r="D288" s="5" t="n">
        <v>0.05</v>
      </c>
      <c r="E288" s="4" t="inlineStr">
        <is>
          <t>Variable</t>
        </is>
      </c>
      <c r="F288" s="4" t="inlineStr">
        <is>
          <t>Smoking initiation and cessation variable</t>
        </is>
      </c>
      <c r="G288" s="4" t="inlineStr">
        <is>
          <t>68 - 72</t>
        </is>
      </c>
      <c r="H288" s="4" t="inlineStr">
        <is>
          <t>ALL.T</t>
        </is>
      </c>
      <c r="I288" s="6" t="n">
        <v>785964.037579</v>
      </c>
      <c r="J288" s="7" t="n">
        <v>0.01</v>
      </c>
      <c r="K288" s="7" t="n">
        <v>0.009999999776482582</v>
      </c>
      <c r="L288" s="4" t="inlineStr">
        <is>
          <t>N/A</t>
        </is>
      </c>
      <c r="M288" s="4" t="inlineStr">
        <is>
          <t>N/A</t>
        </is>
      </c>
      <c r="N288" s="4" t="inlineStr">
        <is>
          <t>N/A</t>
        </is>
      </c>
      <c r="O288" s="4" t="inlineStr">
        <is>
          <t>N/A</t>
        </is>
      </c>
      <c r="P288" s="4" t="inlineStr">
        <is>
          <t>N/A</t>
        </is>
      </c>
      <c r="Q288" s="4" t="inlineStr">
        <is>
          <t>N/A</t>
        </is>
      </c>
      <c r="R288" s="8" t="n">
        <v>46254.78664635416</v>
      </c>
      <c r="S288" s="4" t="inlineStr">
        <is>
          <t>3.0.0</t>
        </is>
      </c>
      <c r="T288" s="4" t="inlineStr">
        <is>
          <t>1.8</t>
        </is>
      </c>
    </row>
    <row r="289">
      <c r="A289" s="4" t="inlineStr">
        <is>
          <t>Grizzly XL YO</t>
        </is>
      </c>
      <c r="B289" s="4" t="inlineStr">
        <is>
          <t>Master Model G25 Grizzly XL Relapse_TwoAge_B03</t>
        </is>
      </c>
      <c r="C289" s="4" t="inlineStr">
        <is>
          <t>JAGS_Female_2000</t>
        </is>
      </c>
      <c r="D289" s="5" t="n">
        <v>0.1</v>
      </c>
      <c r="E289" s="4" t="inlineStr">
        <is>
          <t>Variable</t>
        </is>
      </c>
      <c r="F289" s="4" t="inlineStr">
        <is>
          <t>Smoking initiation and cessation variable</t>
        </is>
      </c>
      <c r="G289" s="4" t="inlineStr">
        <is>
          <t>68 - 72</t>
        </is>
      </c>
      <c r="H289" s="4" t="inlineStr">
        <is>
          <t>DIFF_ALL</t>
        </is>
      </c>
      <c r="I289" s="6" t="n">
        <v>1024.471327</v>
      </c>
      <c r="J289" s="7" t="n">
        <v>0.01</v>
      </c>
      <c r="K289" s="7" t="n">
        <v>0.009999999776482582</v>
      </c>
      <c r="L289" s="4" t="inlineStr">
        <is>
          <t>N/A</t>
        </is>
      </c>
      <c r="M289" s="4" t="inlineStr">
        <is>
          <t>N/A</t>
        </is>
      </c>
      <c r="N289" s="4" t="inlineStr">
        <is>
          <t>N/A</t>
        </is>
      </c>
      <c r="O289" s="4" t="inlineStr">
        <is>
          <t>N/A</t>
        </is>
      </c>
      <c r="P289" s="4" t="inlineStr">
        <is>
          <t>N/A</t>
        </is>
      </c>
      <c r="Q289" s="4" t="inlineStr">
        <is>
          <t>N/A</t>
        </is>
      </c>
      <c r="R289" s="8" t="n">
        <v>46254.786646875</v>
      </c>
      <c r="S289" s="4" t="inlineStr">
        <is>
          <t>3.0.0</t>
        </is>
      </c>
      <c r="T289" s="4" t="inlineStr">
        <is>
          <t>1.8</t>
        </is>
      </c>
    </row>
    <row r="290">
      <c r="A290" s="4" t="inlineStr">
        <is>
          <t>Grizzly XL YO</t>
        </is>
      </c>
      <c r="B290" s="4" t="inlineStr">
        <is>
          <t>Master Model G25 Grizzly XL Relapse_TwoAge_B03</t>
        </is>
      </c>
      <c r="C290" s="4" t="inlineStr">
        <is>
          <t>JAGS_Female_2000</t>
        </is>
      </c>
      <c r="D290" s="5" t="n">
        <v>0.1</v>
      </c>
      <c r="E290" s="4" t="inlineStr">
        <is>
          <t>Variable</t>
        </is>
      </c>
      <c r="F290" s="4" t="inlineStr">
        <is>
          <t>Smoking initiation and cessation variable</t>
        </is>
      </c>
      <c r="G290" s="4" t="inlineStr">
        <is>
          <t>68 - 72</t>
        </is>
      </c>
      <c r="H290" s="4" t="inlineStr">
        <is>
          <t>ALL.T</t>
        </is>
      </c>
      <c r="I290" s="6" t="n">
        <v>785789.664171</v>
      </c>
      <c r="J290" s="7" t="n">
        <v>0.01</v>
      </c>
      <c r="K290" s="7" t="n">
        <v>0.009999999776482582</v>
      </c>
      <c r="L290" s="4" t="inlineStr">
        <is>
          <t>N/A</t>
        </is>
      </c>
      <c r="M290" s="4" t="inlineStr">
        <is>
          <t>N/A</t>
        </is>
      </c>
      <c r="N290" s="4" t="inlineStr">
        <is>
          <t>N/A</t>
        </is>
      </c>
      <c r="O290" s="4" t="inlineStr">
        <is>
          <t>N/A</t>
        </is>
      </c>
      <c r="P290" s="4" t="inlineStr">
        <is>
          <t>N/A</t>
        </is>
      </c>
      <c r="Q290" s="4" t="inlineStr">
        <is>
          <t>N/A</t>
        </is>
      </c>
      <c r="R290" s="8" t="n">
        <v>46254.786646875</v>
      </c>
      <c r="S290" s="4" t="inlineStr">
        <is>
          <t>3.0.0</t>
        </is>
      </c>
      <c r="T290" s="4" t="inlineStr">
        <is>
          <t>1.8</t>
        </is>
      </c>
    </row>
    <row r="291">
      <c r="A291" s="4" t="inlineStr">
        <is>
          <t>Grizzly XL YO</t>
        </is>
      </c>
      <c r="B291" s="4" t="inlineStr">
        <is>
          <t>Master Model G25 Grizzly XL Relapse_TwoAge_B04</t>
        </is>
      </c>
      <c r="C291" s="4" t="inlineStr">
        <is>
          <t>JAGS_Male_2000</t>
        </is>
      </c>
      <c r="D291" s="5" t="n">
        <v>0.05</v>
      </c>
      <c r="E291" s="4" t="inlineStr">
        <is>
          <t>Variable</t>
        </is>
      </c>
      <c r="F291" s="4" t="inlineStr">
        <is>
          <t>Smoking initiation and cessation variable</t>
        </is>
      </c>
      <c r="G291" s="4" t="inlineStr">
        <is>
          <t>68 - 72</t>
        </is>
      </c>
      <c r="H291" s="4" t="inlineStr">
        <is>
          <t>DIFF_ALL</t>
        </is>
      </c>
      <c r="I291" s="6" t="n">
        <v>1069.861195</v>
      </c>
      <c r="J291" s="7" t="n">
        <v>0.01</v>
      </c>
      <c r="K291" s="7" t="n">
        <v>0.009999999776482582</v>
      </c>
      <c r="L291" s="4" t="inlineStr">
        <is>
          <t>N/A</t>
        </is>
      </c>
      <c r="M291" s="4" t="inlineStr">
        <is>
          <t>N/A</t>
        </is>
      </c>
      <c r="N291" s="4" t="inlineStr">
        <is>
          <t>N/A</t>
        </is>
      </c>
      <c r="O291" s="4" t="inlineStr">
        <is>
          <t>N/A</t>
        </is>
      </c>
      <c r="P291" s="4" t="inlineStr">
        <is>
          <t>N/A</t>
        </is>
      </c>
      <c r="Q291" s="4" t="inlineStr">
        <is>
          <t>N/A</t>
        </is>
      </c>
      <c r="R291" s="8" t="n">
        <v>46254.79055826389</v>
      </c>
      <c r="S291" s="4" t="inlineStr">
        <is>
          <t>3.0.0</t>
        </is>
      </c>
      <c r="T291" s="4" t="inlineStr">
        <is>
          <t>1.8</t>
        </is>
      </c>
    </row>
    <row r="292">
      <c r="A292" s="4" t="inlineStr">
        <is>
          <t>Grizzly XL YO</t>
        </is>
      </c>
      <c r="B292" s="4" t="inlineStr">
        <is>
          <t>Master Model G25 Grizzly XL Relapse_TwoAge_B04</t>
        </is>
      </c>
      <c r="C292" s="4" t="inlineStr">
        <is>
          <t>JAGS_Male_2000</t>
        </is>
      </c>
      <c r="D292" s="5" t="n">
        <v>0.05</v>
      </c>
      <c r="E292" s="4" t="inlineStr">
        <is>
          <t>Variable</t>
        </is>
      </c>
      <c r="F292" s="4" t="inlineStr">
        <is>
          <t>Smoking initiation and cessation variable</t>
        </is>
      </c>
      <c r="G292" s="4" t="inlineStr">
        <is>
          <t>68 - 72</t>
        </is>
      </c>
      <c r="H292" s="4" t="inlineStr">
        <is>
          <t>ALL.T</t>
        </is>
      </c>
      <c r="I292" s="6" t="n">
        <v>679622.9651180001</v>
      </c>
      <c r="J292" s="7" t="n">
        <v>0.01</v>
      </c>
      <c r="K292" s="7" t="n">
        <v>0.009999999776482582</v>
      </c>
      <c r="L292" s="4" t="inlineStr">
        <is>
          <t>N/A</t>
        </is>
      </c>
      <c r="M292" s="4" t="inlineStr">
        <is>
          <t>N/A</t>
        </is>
      </c>
      <c r="N292" s="4" t="inlineStr">
        <is>
          <t>N/A</t>
        </is>
      </c>
      <c r="O292" s="4" t="inlineStr">
        <is>
          <t>N/A</t>
        </is>
      </c>
      <c r="P292" s="4" t="inlineStr">
        <is>
          <t>N/A</t>
        </is>
      </c>
      <c r="Q292" s="4" t="inlineStr">
        <is>
          <t>N/A</t>
        </is>
      </c>
      <c r="R292" s="8" t="n">
        <v>46254.79055826389</v>
      </c>
      <c r="S292" s="4" t="inlineStr">
        <is>
          <t>3.0.0</t>
        </is>
      </c>
      <c r="T292" s="4" t="inlineStr">
        <is>
          <t>1.8</t>
        </is>
      </c>
    </row>
    <row r="293">
      <c r="A293" s="4" t="inlineStr">
        <is>
          <t>Grizzly XL YO</t>
        </is>
      </c>
      <c r="B293" s="4" t="inlineStr">
        <is>
          <t>Master Model G25 Grizzly XL Relapse_TwoAge_B04</t>
        </is>
      </c>
      <c r="C293" s="4" t="inlineStr">
        <is>
          <t>JAGS_Male_2000</t>
        </is>
      </c>
      <c r="D293" s="5" t="n">
        <v>0.1</v>
      </c>
      <c r="E293" s="4" t="inlineStr">
        <is>
          <t>Variable</t>
        </is>
      </c>
      <c r="F293" s="4" t="inlineStr">
        <is>
          <t>Smoking initiation and cessation variable</t>
        </is>
      </c>
      <c r="G293" s="4" t="inlineStr">
        <is>
          <t>68 - 72</t>
        </is>
      </c>
      <c r="H293" s="4" t="inlineStr">
        <is>
          <t>DIFF_ALL</t>
        </is>
      </c>
      <c r="I293" s="6" t="n">
        <v>979.472255</v>
      </c>
      <c r="J293" s="7" t="n">
        <v>0.01</v>
      </c>
      <c r="K293" s="7" t="n">
        <v>0.009999999776482582</v>
      </c>
      <c r="L293" s="4" t="inlineStr">
        <is>
          <t>N/A</t>
        </is>
      </c>
      <c r="M293" s="4" t="inlineStr">
        <is>
          <t>N/A</t>
        </is>
      </c>
      <c r="N293" s="4" t="inlineStr">
        <is>
          <t>N/A</t>
        </is>
      </c>
      <c r="O293" s="4" t="inlineStr">
        <is>
          <t>N/A</t>
        </is>
      </c>
      <c r="P293" s="4" t="inlineStr">
        <is>
          <t>N/A</t>
        </is>
      </c>
      <c r="Q293" s="4" t="inlineStr">
        <is>
          <t>N/A</t>
        </is>
      </c>
      <c r="R293" s="8" t="n">
        <v>46254.7905587037</v>
      </c>
      <c r="S293" s="4" t="inlineStr">
        <is>
          <t>3.0.0</t>
        </is>
      </c>
      <c r="T293" s="4" t="inlineStr">
        <is>
          <t>1.8</t>
        </is>
      </c>
    </row>
    <row r="294">
      <c r="A294" s="4" t="inlineStr">
        <is>
          <t>Grizzly XL YO</t>
        </is>
      </c>
      <c r="B294" s="4" t="inlineStr">
        <is>
          <t>Master Model G25 Grizzly XL Relapse_TwoAge_B04</t>
        </is>
      </c>
      <c r="C294" s="4" t="inlineStr">
        <is>
          <t>JAGS_Male_2000</t>
        </is>
      </c>
      <c r="D294" s="5" t="n">
        <v>0.1</v>
      </c>
      <c r="E294" s="4" t="inlineStr">
        <is>
          <t>Variable</t>
        </is>
      </c>
      <c r="F294" s="4" t="inlineStr">
        <is>
          <t>Smoking initiation and cessation variable</t>
        </is>
      </c>
      <c r="G294" s="4" t="inlineStr">
        <is>
          <t>68 - 72</t>
        </is>
      </c>
      <c r="H294" s="4" t="inlineStr">
        <is>
          <t>ALL.T</t>
        </is>
      </c>
      <c r="I294" s="6" t="n">
        <v>679532.576177</v>
      </c>
      <c r="J294" s="7" t="n">
        <v>0.01</v>
      </c>
      <c r="K294" s="7" t="n">
        <v>0.009999999776482582</v>
      </c>
      <c r="L294" s="4" t="inlineStr">
        <is>
          <t>N/A</t>
        </is>
      </c>
      <c r="M294" s="4" t="inlineStr">
        <is>
          <t>N/A</t>
        </is>
      </c>
      <c r="N294" s="4" t="inlineStr">
        <is>
          <t>N/A</t>
        </is>
      </c>
      <c r="O294" s="4" t="inlineStr">
        <is>
          <t>N/A</t>
        </is>
      </c>
      <c r="P294" s="4" t="inlineStr">
        <is>
          <t>N/A</t>
        </is>
      </c>
      <c r="Q294" s="4" t="inlineStr">
        <is>
          <t>N/A</t>
        </is>
      </c>
      <c r="R294" s="8" t="n">
        <v>46254.7905587037</v>
      </c>
      <c r="S294" s="4" t="inlineStr">
        <is>
          <t>3.0.0</t>
        </is>
      </c>
      <c r="T294" s="4" t="inlineStr">
        <is>
          <t>1.8</t>
        </is>
      </c>
    </row>
    <row r="295">
      <c r="A295" s="4" t="inlineStr">
        <is>
          <t>Grizzly XL YO</t>
        </is>
      </c>
      <c r="B295" s="4" t="inlineStr">
        <is>
          <t>Master Model G25 Grizzly XL Relapse_TwoAge_B04</t>
        </is>
      </c>
      <c r="C295" s="4" t="inlineStr">
        <is>
          <t>JAGS_Female_2000</t>
        </is>
      </c>
      <c r="D295" s="5" t="n">
        <v>0.05</v>
      </c>
      <c r="E295" s="4" t="inlineStr">
        <is>
          <t>Variable</t>
        </is>
      </c>
      <c r="F295" s="4" t="inlineStr">
        <is>
          <t>Smoking initiation and cessation variable</t>
        </is>
      </c>
      <c r="G295" s="4" t="inlineStr">
        <is>
          <t>68 - 72</t>
        </is>
      </c>
      <c r="H295" s="4" t="inlineStr">
        <is>
          <t>DIFF_ALL</t>
        </is>
      </c>
      <c r="I295" s="6" t="n">
        <v>866.880928</v>
      </c>
      <c r="J295" s="7" t="n">
        <v>0.01</v>
      </c>
      <c r="K295" s="7" t="n">
        <v>0.009999999776482582</v>
      </c>
      <c r="L295" s="4" t="inlineStr">
        <is>
          <t>N/A</t>
        </is>
      </c>
      <c r="M295" s="4" t="inlineStr">
        <is>
          <t>N/A</t>
        </is>
      </c>
      <c r="N295" s="4" t="inlineStr">
        <is>
          <t>N/A</t>
        </is>
      </c>
      <c r="O295" s="4" t="inlineStr">
        <is>
          <t>N/A</t>
        </is>
      </c>
      <c r="P295" s="4" t="inlineStr">
        <is>
          <t>N/A</t>
        </is>
      </c>
      <c r="Q295" s="4" t="inlineStr">
        <is>
          <t>N/A</t>
        </is>
      </c>
      <c r="R295" s="8" t="n">
        <v>46254.7905591551</v>
      </c>
      <c r="S295" s="4" t="inlineStr">
        <is>
          <t>3.0.0</t>
        </is>
      </c>
      <c r="T295" s="4" t="inlineStr">
        <is>
          <t>1.8</t>
        </is>
      </c>
    </row>
    <row r="296">
      <c r="A296" s="4" t="inlineStr">
        <is>
          <t>Grizzly XL YO</t>
        </is>
      </c>
      <c r="B296" s="4" t="inlineStr">
        <is>
          <t>Master Model G25 Grizzly XL Relapse_TwoAge_B04</t>
        </is>
      </c>
      <c r="C296" s="4" t="inlineStr">
        <is>
          <t>JAGS_Female_2000</t>
        </is>
      </c>
      <c r="D296" s="5" t="n">
        <v>0.05</v>
      </c>
      <c r="E296" s="4" t="inlineStr">
        <is>
          <t>Variable</t>
        </is>
      </c>
      <c r="F296" s="4" t="inlineStr">
        <is>
          <t>Smoking initiation and cessation variable</t>
        </is>
      </c>
      <c r="G296" s="4" t="inlineStr">
        <is>
          <t>68 - 72</t>
        </is>
      </c>
      <c r="H296" s="4" t="inlineStr">
        <is>
          <t>ALL.T</t>
        </is>
      </c>
      <c r="I296" s="6" t="n">
        <v>785656.796288</v>
      </c>
      <c r="J296" s="7" t="n">
        <v>0.01</v>
      </c>
      <c r="K296" s="7" t="n">
        <v>0.009999999776482582</v>
      </c>
      <c r="L296" s="4" t="inlineStr">
        <is>
          <t>N/A</t>
        </is>
      </c>
      <c r="M296" s="4" t="inlineStr">
        <is>
          <t>N/A</t>
        </is>
      </c>
      <c r="N296" s="4" t="inlineStr">
        <is>
          <t>N/A</t>
        </is>
      </c>
      <c r="O296" s="4" t="inlineStr">
        <is>
          <t>N/A</t>
        </is>
      </c>
      <c r="P296" s="4" t="inlineStr">
        <is>
          <t>N/A</t>
        </is>
      </c>
      <c r="Q296" s="4" t="inlineStr">
        <is>
          <t>N/A</t>
        </is>
      </c>
      <c r="R296" s="8" t="n">
        <v>46254.7905591551</v>
      </c>
      <c r="S296" s="4" t="inlineStr">
        <is>
          <t>3.0.0</t>
        </is>
      </c>
      <c r="T296" s="4" t="inlineStr">
        <is>
          <t>1.8</t>
        </is>
      </c>
    </row>
    <row r="297">
      <c r="A297" s="4" t="inlineStr">
        <is>
          <t>Grizzly XL YO</t>
        </is>
      </c>
      <c r="B297" s="4" t="inlineStr">
        <is>
          <t>Master Model G25 Grizzly XL Relapse_TwoAge_B04</t>
        </is>
      </c>
      <c r="C297" s="4" t="inlineStr">
        <is>
          <t>JAGS_Female_2000</t>
        </is>
      </c>
      <c r="D297" s="5" t="n">
        <v>0.1</v>
      </c>
      <c r="E297" s="4" t="inlineStr">
        <is>
          <t>Variable</t>
        </is>
      </c>
      <c r="F297" s="4" t="inlineStr">
        <is>
          <t>Smoking initiation and cessation variable</t>
        </is>
      </c>
      <c r="G297" s="4" t="inlineStr">
        <is>
          <t>68 - 72</t>
        </is>
      </c>
      <c r="H297" s="4" t="inlineStr">
        <is>
          <t>DIFF_ALL</t>
        </is>
      </c>
      <c r="I297" s="6" t="n">
        <v>796.316383</v>
      </c>
      <c r="J297" s="7" t="n">
        <v>0.01</v>
      </c>
      <c r="K297" s="7" t="n">
        <v>0.009999999776482582</v>
      </c>
      <c r="L297" s="4" t="inlineStr">
        <is>
          <t>N/A</t>
        </is>
      </c>
      <c r="M297" s="4" t="inlineStr">
        <is>
          <t>N/A</t>
        </is>
      </c>
      <c r="N297" s="4" t="inlineStr">
        <is>
          <t>N/A</t>
        </is>
      </c>
      <c r="O297" s="4" t="inlineStr">
        <is>
          <t>N/A</t>
        </is>
      </c>
      <c r="P297" s="4" t="inlineStr">
        <is>
          <t>N/A</t>
        </is>
      </c>
      <c r="Q297" s="4" t="inlineStr">
        <is>
          <t>N/A</t>
        </is>
      </c>
      <c r="R297" s="8" t="n">
        <v>46254.79055961806</v>
      </c>
      <c r="S297" s="4" t="inlineStr">
        <is>
          <t>3.0.0</t>
        </is>
      </c>
      <c r="T297" s="4" t="inlineStr">
        <is>
          <t>1.8</t>
        </is>
      </c>
    </row>
    <row r="298">
      <c r="A298" s="4" t="inlineStr">
        <is>
          <t>Grizzly XL YO</t>
        </is>
      </c>
      <c r="B298" s="4" t="inlineStr">
        <is>
          <t>Master Model G25 Grizzly XL Relapse_TwoAge_B04</t>
        </is>
      </c>
      <c r="C298" s="4" t="inlineStr">
        <is>
          <t>JAGS_Female_2000</t>
        </is>
      </c>
      <c r="D298" s="5" t="n">
        <v>0.1</v>
      </c>
      <c r="E298" s="4" t="inlineStr">
        <is>
          <t>Variable</t>
        </is>
      </c>
      <c r="F298" s="4" t="inlineStr">
        <is>
          <t>Smoking initiation and cessation variable</t>
        </is>
      </c>
      <c r="G298" s="4" t="inlineStr">
        <is>
          <t>68 - 72</t>
        </is>
      </c>
      <c r="H298" s="4" t="inlineStr">
        <is>
          <t>ALL.T</t>
        </is>
      </c>
      <c r="I298" s="6" t="n">
        <v>785586.231743</v>
      </c>
      <c r="J298" s="7" t="n">
        <v>0.01</v>
      </c>
      <c r="K298" s="7" t="n">
        <v>0.009999999776482582</v>
      </c>
      <c r="L298" s="4" t="inlineStr">
        <is>
          <t>N/A</t>
        </is>
      </c>
      <c r="M298" s="4" t="inlineStr">
        <is>
          <t>N/A</t>
        </is>
      </c>
      <c r="N298" s="4" t="inlineStr">
        <is>
          <t>N/A</t>
        </is>
      </c>
      <c r="O298" s="4" t="inlineStr">
        <is>
          <t>N/A</t>
        </is>
      </c>
      <c r="P298" s="4" t="inlineStr">
        <is>
          <t>N/A</t>
        </is>
      </c>
      <c r="Q298" s="4" t="inlineStr">
        <is>
          <t>N/A</t>
        </is>
      </c>
      <c r="R298" s="8" t="n">
        <v>46254.79055961806</v>
      </c>
      <c r="S298" s="4" t="inlineStr">
        <is>
          <t>3.0.0</t>
        </is>
      </c>
      <c r="T298" s="4" t="inlineStr">
        <is>
          <t>1.8</t>
        </is>
      </c>
    </row>
    <row r="299">
      <c r="A299" s="4" t="inlineStr">
        <is>
          <t>Grizzly XL YO</t>
        </is>
      </c>
      <c r="B299" s="4" t="inlineStr">
        <is>
          <t>Master Model G25 Grizzly XL Relapse_TwoAge_B05</t>
        </is>
      </c>
      <c r="C299" s="4" t="inlineStr">
        <is>
          <t>JAGS_Male_2000</t>
        </is>
      </c>
      <c r="D299" s="5" t="n">
        <v>0.05</v>
      </c>
      <c r="E299" s="4" t="inlineStr">
        <is>
          <t>Variable</t>
        </is>
      </c>
      <c r="F299" s="4" t="inlineStr">
        <is>
          <t>Smoking initiation and cessation variable</t>
        </is>
      </c>
      <c r="G299" s="4" t="inlineStr">
        <is>
          <t>68 - 72</t>
        </is>
      </c>
      <c r="H299" s="4" t="inlineStr">
        <is>
          <t>DIFF_ALL</t>
        </is>
      </c>
      <c r="I299" s="6" t="n">
        <v>728.935081</v>
      </c>
      <c r="J299" s="7" t="n">
        <v>0.01</v>
      </c>
      <c r="K299" s="7" t="n">
        <v>0.009999999776482582</v>
      </c>
      <c r="L299" s="4" t="inlineStr">
        <is>
          <t>N/A</t>
        </is>
      </c>
      <c r="M299" s="4" t="inlineStr">
        <is>
          <t>N/A</t>
        </is>
      </c>
      <c r="N299" s="4" t="inlineStr">
        <is>
          <t>N/A</t>
        </is>
      </c>
      <c r="O299" s="4" t="inlineStr">
        <is>
          <t>N/A</t>
        </is>
      </c>
      <c r="P299" s="4" t="inlineStr">
        <is>
          <t>N/A</t>
        </is>
      </c>
      <c r="Q299" s="4" t="inlineStr">
        <is>
          <t>N/A</t>
        </is>
      </c>
      <c r="R299" s="8" t="n">
        <v>46254.79124765046</v>
      </c>
      <c r="S299" s="4" t="inlineStr">
        <is>
          <t>3.0.0</t>
        </is>
      </c>
      <c r="T299" s="4" t="inlineStr">
        <is>
          <t>1.8</t>
        </is>
      </c>
    </row>
    <row r="300">
      <c r="A300" s="4" t="inlineStr">
        <is>
          <t>Grizzly XL YO</t>
        </is>
      </c>
      <c r="B300" s="4" t="inlineStr">
        <is>
          <t>Master Model G25 Grizzly XL Relapse_TwoAge_B05</t>
        </is>
      </c>
      <c r="C300" s="4" t="inlineStr">
        <is>
          <t>JAGS_Male_2000</t>
        </is>
      </c>
      <c r="D300" s="5" t="n">
        <v>0.05</v>
      </c>
      <c r="E300" s="4" t="inlineStr">
        <is>
          <t>Variable</t>
        </is>
      </c>
      <c r="F300" s="4" t="inlineStr">
        <is>
          <t>Smoking initiation and cessation variable</t>
        </is>
      </c>
      <c r="G300" s="4" t="inlineStr">
        <is>
          <t>68 - 72</t>
        </is>
      </c>
      <c r="H300" s="4" t="inlineStr">
        <is>
          <t>ALL.T</t>
        </is>
      </c>
      <c r="I300" s="6" t="n">
        <v>679359.5777350001</v>
      </c>
      <c r="J300" s="7" t="n">
        <v>0.01</v>
      </c>
      <c r="K300" s="7" t="n">
        <v>0.009999999776482582</v>
      </c>
      <c r="L300" s="4" t="inlineStr">
        <is>
          <t>N/A</t>
        </is>
      </c>
      <c r="M300" s="4" t="inlineStr">
        <is>
          <t>N/A</t>
        </is>
      </c>
      <c r="N300" s="4" t="inlineStr">
        <is>
          <t>N/A</t>
        </is>
      </c>
      <c r="O300" s="4" t="inlineStr">
        <is>
          <t>N/A</t>
        </is>
      </c>
      <c r="P300" s="4" t="inlineStr">
        <is>
          <t>N/A</t>
        </is>
      </c>
      <c r="Q300" s="4" t="inlineStr">
        <is>
          <t>N/A</t>
        </is>
      </c>
      <c r="R300" s="8" t="n">
        <v>46254.79124765046</v>
      </c>
      <c r="S300" s="4" t="inlineStr">
        <is>
          <t>3.0.0</t>
        </is>
      </c>
      <c r="T300" s="4" t="inlineStr">
        <is>
          <t>1.8</t>
        </is>
      </c>
    </row>
    <row r="301">
      <c r="A301" s="4" t="inlineStr">
        <is>
          <t>Grizzly XL YO</t>
        </is>
      </c>
      <c r="B301" s="4" t="inlineStr">
        <is>
          <t>Master Model G25 Grizzly XL Relapse_TwoAge_B05</t>
        </is>
      </c>
      <c r="C301" s="4" t="inlineStr">
        <is>
          <t>JAGS_Male_2000</t>
        </is>
      </c>
      <c r="D301" s="5" t="n">
        <v>0.1</v>
      </c>
      <c r="E301" s="4" t="inlineStr">
        <is>
          <t>Variable</t>
        </is>
      </c>
      <c r="F301" s="4" t="inlineStr">
        <is>
          <t>Smoking initiation and cessation variable</t>
        </is>
      </c>
      <c r="G301" s="4" t="inlineStr">
        <is>
          <t>68 - 72</t>
        </is>
      </c>
      <c r="H301" s="4" t="inlineStr">
        <is>
          <t>DIFF_ALL</t>
        </is>
      </c>
      <c r="I301" s="6" t="n">
        <v>670.805806</v>
      </c>
      <c r="J301" s="7" t="n">
        <v>0.01</v>
      </c>
      <c r="K301" s="7" t="n">
        <v>0.009999999776482582</v>
      </c>
      <c r="L301" s="4" t="inlineStr">
        <is>
          <t>N/A</t>
        </is>
      </c>
      <c r="M301" s="4" t="inlineStr">
        <is>
          <t>N/A</t>
        </is>
      </c>
      <c r="N301" s="4" t="inlineStr">
        <is>
          <t>N/A</t>
        </is>
      </c>
      <c r="O301" s="4" t="inlineStr">
        <is>
          <t>N/A</t>
        </is>
      </c>
      <c r="P301" s="4" t="inlineStr">
        <is>
          <t>N/A</t>
        </is>
      </c>
      <c r="Q301" s="4" t="inlineStr">
        <is>
          <t>N/A</t>
        </is>
      </c>
      <c r="R301" s="8" t="n">
        <v>46254.79124815972</v>
      </c>
      <c r="S301" s="4" t="inlineStr">
        <is>
          <t>3.0.0</t>
        </is>
      </c>
      <c r="T301" s="4" t="inlineStr">
        <is>
          <t>1.8</t>
        </is>
      </c>
    </row>
    <row r="302">
      <c r="A302" s="4" t="inlineStr">
        <is>
          <t>Grizzly XL YO</t>
        </is>
      </c>
      <c r="B302" s="4" t="inlineStr">
        <is>
          <t>Master Model G25 Grizzly XL Relapse_TwoAge_B05</t>
        </is>
      </c>
      <c r="C302" s="4" t="inlineStr">
        <is>
          <t>JAGS_Male_2000</t>
        </is>
      </c>
      <c r="D302" s="5" t="n">
        <v>0.1</v>
      </c>
      <c r="E302" s="4" t="inlineStr">
        <is>
          <t>Variable</t>
        </is>
      </c>
      <c r="F302" s="4" t="inlineStr">
        <is>
          <t>Smoking initiation and cessation variable</t>
        </is>
      </c>
      <c r="G302" s="4" t="inlineStr">
        <is>
          <t>68 - 72</t>
        </is>
      </c>
      <c r="H302" s="4" t="inlineStr">
        <is>
          <t>ALL.T</t>
        </is>
      </c>
      <c r="I302" s="6" t="n">
        <v>679301.44846</v>
      </c>
      <c r="J302" s="7" t="n">
        <v>0.01</v>
      </c>
      <c r="K302" s="7" t="n">
        <v>0.009999999776482582</v>
      </c>
      <c r="L302" s="4" t="inlineStr">
        <is>
          <t>N/A</t>
        </is>
      </c>
      <c r="M302" s="4" t="inlineStr">
        <is>
          <t>N/A</t>
        </is>
      </c>
      <c r="N302" s="4" t="inlineStr">
        <is>
          <t>N/A</t>
        </is>
      </c>
      <c r="O302" s="4" t="inlineStr">
        <is>
          <t>N/A</t>
        </is>
      </c>
      <c r="P302" s="4" t="inlineStr">
        <is>
          <t>N/A</t>
        </is>
      </c>
      <c r="Q302" s="4" t="inlineStr">
        <is>
          <t>N/A</t>
        </is>
      </c>
      <c r="R302" s="8" t="n">
        <v>46254.79124815972</v>
      </c>
      <c r="S302" s="4" t="inlineStr">
        <is>
          <t>3.0.0</t>
        </is>
      </c>
      <c r="T302" s="4" t="inlineStr">
        <is>
          <t>1.8</t>
        </is>
      </c>
    </row>
    <row r="303">
      <c r="A303" s="4" t="inlineStr">
        <is>
          <t>Grizzly XL YO</t>
        </is>
      </c>
      <c r="B303" s="4" t="inlineStr">
        <is>
          <t>Master Model G25 Grizzly XL Relapse_TwoAge_B05</t>
        </is>
      </c>
      <c r="C303" s="4" t="inlineStr">
        <is>
          <t>JAGS_Female_2000</t>
        </is>
      </c>
      <c r="D303" s="5" t="n">
        <v>0.05</v>
      </c>
      <c r="E303" s="4" t="inlineStr">
        <is>
          <t>Variable</t>
        </is>
      </c>
      <c r="F303" s="4" t="inlineStr">
        <is>
          <t>Smoking initiation and cessation variable</t>
        </is>
      </c>
      <c r="G303" s="4" t="inlineStr">
        <is>
          <t>68 - 72</t>
        </is>
      </c>
      <c r="H303" s="4" t="inlineStr">
        <is>
          <t>DIFF_ALL</t>
        </is>
      </c>
      <c r="I303" s="6" t="n">
        <v>606.07008</v>
      </c>
      <c r="J303" s="7" t="n">
        <v>0.01</v>
      </c>
      <c r="K303" s="7" t="n">
        <v>0.009999999776482582</v>
      </c>
      <c r="L303" s="4" t="inlineStr">
        <is>
          <t>N/A</t>
        </is>
      </c>
      <c r="M303" s="4" t="inlineStr">
        <is>
          <t>N/A</t>
        </is>
      </c>
      <c r="N303" s="4" t="inlineStr">
        <is>
          <t>N/A</t>
        </is>
      </c>
      <c r="O303" s="4" t="inlineStr">
        <is>
          <t>N/A</t>
        </is>
      </c>
      <c r="P303" s="4" t="inlineStr">
        <is>
          <t>N/A</t>
        </is>
      </c>
      <c r="Q303" s="4" t="inlineStr">
        <is>
          <t>N/A</t>
        </is>
      </c>
      <c r="R303" s="8" t="n">
        <v>46254.79124862269</v>
      </c>
      <c r="S303" s="4" t="inlineStr">
        <is>
          <t>3.0.0</t>
        </is>
      </c>
      <c r="T303" s="4" t="inlineStr">
        <is>
          <t>1.8</t>
        </is>
      </c>
    </row>
    <row r="304">
      <c r="A304" s="4" t="inlineStr">
        <is>
          <t>Grizzly XL YO</t>
        </is>
      </c>
      <c r="B304" s="4" t="inlineStr">
        <is>
          <t>Master Model G25 Grizzly XL Relapse_TwoAge_B05</t>
        </is>
      </c>
      <c r="C304" s="4" t="inlineStr">
        <is>
          <t>JAGS_Female_2000</t>
        </is>
      </c>
      <c r="D304" s="5" t="n">
        <v>0.05</v>
      </c>
      <c r="E304" s="4" t="inlineStr">
        <is>
          <t>Variable</t>
        </is>
      </c>
      <c r="F304" s="4" t="inlineStr">
        <is>
          <t>Smoking initiation and cessation variable</t>
        </is>
      </c>
      <c r="G304" s="4" t="inlineStr">
        <is>
          <t>68 - 72</t>
        </is>
      </c>
      <c r="H304" s="4" t="inlineStr">
        <is>
          <t>ALL.T</t>
        </is>
      </c>
      <c r="I304" s="6" t="n">
        <v>785455.530587</v>
      </c>
      <c r="J304" s="7" t="n">
        <v>0.01</v>
      </c>
      <c r="K304" s="7" t="n">
        <v>0.009999999776482582</v>
      </c>
      <c r="L304" s="4" t="inlineStr">
        <is>
          <t>N/A</t>
        </is>
      </c>
      <c r="M304" s="4" t="inlineStr">
        <is>
          <t>N/A</t>
        </is>
      </c>
      <c r="N304" s="4" t="inlineStr">
        <is>
          <t>N/A</t>
        </is>
      </c>
      <c r="O304" s="4" t="inlineStr">
        <is>
          <t>N/A</t>
        </is>
      </c>
      <c r="P304" s="4" t="inlineStr">
        <is>
          <t>N/A</t>
        </is>
      </c>
      <c r="Q304" s="4" t="inlineStr">
        <is>
          <t>N/A</t>
        </is>
      </c>
      <c r="R304" s="8" t="n">
        <v>46254.79124862269</v>
      </c>
      <c r="S304" s="4" t="inlineStr">
        <is>
          <t>3.0.0</t>
        </is>
      </c>
      <c r="T304" s="4" t="inlineStr">
        <is>
          <t>1.8</t>
        </is>
      </c>
    </row>
    <row r="305">
      <c r="A305" s="4" t="inlineStr">
        <is>
          <t>Grizzly XL YO</t>
        </is>
      </c>
      <c r="B305" s="4" t="inlineStr">
        <is>
          <t>Master Model G25 Grizzly XL Relapse_TwoAge_B05</t>
        </is>
      </c>
      <c r="C305" s="4" t="inlineStr">
        <is>
          <t>JAGS_Female_2000</t>
        </is>
      </c>
      <c r="D305" s="5" t="n">
        <v>0.1</v>
      </c>
      <c r="E305" s="4" t="inlineStr">
        <is>
          <t>Variable</t>
        </is>
      </c>
      <c r="F305" s="4" t="inlineStr">
        <is>
          <t>Smoking initiation and cessation variable</t>
        </is>
      </c>
      <c r="G305" s="4" t="inlineStr">
        <is>
          <t>68 - 72</t>
        </is>
      </c>
      <c r="H305" s="4" t="inlineStr">
        <is>
          <t>DIFF_ALL</t>
        </is>
      </c>
      <c r="I305" s="6" t="n">
        <v>559.288678</v>
      </c>
      <c r="J305" s="7" t="n">
        <v>0.01</v>
      </c>
      <c r="K305" s="7" t="n">
        <v>0.009999999776482582</v>
      </c>
      <c r="L305" s="4" t="inlineStr">
        <is>
          <t>N/A</t>
        </is>
      </c>
      <c r="M305" s="4" t="inlineStr">
        <is>
          <t>N/A</t>
        </is>
      </c>
      <c r="N305" s="4" t="inlineStr">
        <is>
          <t>N/A</t>
        </is>
      </c>
      <c r="O305" s="4" t="inlineStr">
        <is>
          <t>N/A</t>
        </is>
      </c>
      <c r="P305" s="4" t="inlineStr">
        <is>
          <t>N/A</t>
        </is>
      </c>
      <c r="Q305" s="4" t="inlineStr">
        <is>
          <t>N/A</t>
        </is>
      </c>
      <c r="R305" s="8" t="n">
        <v>46254.79124907407</v>
      </c>
      <c r="S305" s="4" t="inlineStr">
        <is>
          <t>3.0.0</t>
        </is>
      </c>
      <c r="T305" s="4" t="inlineStr">
        <is>
          <t>1.8</t>
        </is>
      </c>
    </row>
    <row r="306">
      <c r="A306" s="4" t="inlineStr">
        <is>
          <t>Grizzly XL YO</t>
        </is>
      </c>
      <c r="B306" s="4" t="inlineStr">
        <is>
          <t>Master Model G25 Grizzly XL Relapse_TwoAge_B05</t>
        </is>
      </c>
      <c r="C306" s="4" t="inlineStr">
        <is>
          <t>JAGS_Female_2000</t>
        </is>
      </c>
      <c r="D306" s="5" t="n">
        <v>0.1</v>
      </c>
      <c r="E306" s="4" t="inlineStr">
        <is>
          <t>Variable</t>
        </is>
      </c>
      <c r="F306" s="4" t="inlineStr">
        <is>
          <t>Smoking initiation and cessation variable</t>
        </is>
      </c>
      <c r="G306" s="4" t="inlineStr">
        <is>
          <t>68 - 72</t>
        </is>
      </c>
      <c r="H306" s="4" t="inlineStr">
        <is>
          <t>ALL.T</t>
        </is>
      </c>
      <c r="I306" s="6" t="n">
        <v>785408.749186</v>
      </c>
      <c r="J306" s="7" t="n">
        <v>0.01</v>
      </c>
      <c r="K306" s="7" t="n">
        <v>0.009999999776482582</v>
      </c>
      <c r="L306" s="4" t="inlineStr">
        <is>
          <t>N/A</t>
        </is>
      </c>
      <c r="M306" s="4" t="inlineStr">
        <is>
          <t>N/A</t>
        </is>
      </c>
      <c r="N306" s="4" t="inlineStr">
        <is>
          <t>N/A</t>
        </is>
      </c>
      <c r="O306" s="4" t="inlineStr">
        <is>
          <t>N/A</t>
        </is>
      </c>
      <c r="P306" s="4" t="inlineStr">
        <is>
          <t>N/A</t>
        </is>
      </c>
      <c r="Q306" s="4" t="inlineStr">
        <is>
          <t>N/A</t>
        </is>
      </c>
      <c r="R306" s="8" t="n">
        <v>46254.79124907407</v>
      </c>
      <c r="S306" s="4" t="inlineStr">
        <is>
          <t>3.0.0</t>
        </is>
      </c>
      <c r="T306" s="4" t="inlineStr">
        <is>
          <t>1.8</t>
        </is>
      </c>
    </row>
    <row r="307">
      <c r="A307" s="4" t="inlineStr">
        <is>
          <t>Grizzly XL YO</t>
        </is>
      </c>
      <c r="B307" s="4" t="inlineStr">
        <is>
          <t>Master Model G25 Grizzly XL Relapse_TwoAge_B06</t>
        </is>
      </c>
      <c r="C307" s="4" t="inlineStr">
        <is>
          <t>JAGS_Male_2000</t>
        </is>
      </c>
      <c r="D307" s="5" t="n">
        <v>0.05</v>
      </c>
      <c r="E307" s="4" t="inlineStr">
        <is>
          <t>Variable</t>
        </is>
      </c>
      <c r="F307" s="4" t="inlineStr">
        <is>
          <t>Smoking initiation and cessation variable</t>
        </is>
      </c>
      <c r="G307" s="4" t="inlineStr">
        <is>
          <t>68 - 72</t>
        </is>
      </c>
      <c r="H307" s="4" t="inlineStr">
        <is>
          <t>DIFF_ALL</t>
        </is>
      </c>
      <c r="I307" s="6" t="n">
        <v>491.993999</v>
      </c>
      <c r="J307" s="7" t="n">
        <v>0.01</v>
      </c>
      <c r="K307" s="7" t="n">
        <v>0.009999999776482582</v>
      </c>
      <c r="L307" s="4" t="inlineStr">
        <is>
          <t>N/A</t>
        </is>
      </c>
      <c r="M307" s="4" t="inlineStr">
        <is>
          <t>N/A</t>
        </is>
      </c>
      <c r="N307" s="4" t="inlineStr">
        <is>
          <t>N/A</t>
        </is>
      </c>
      <c r="O307" s="4" t="inlineStr">
        <is>
          <t>N/A</t>
        </is>
      </c>
      <c r="P307" s="4" t="inlineStr">
        <is>
          <t>N/A</t>
        </is>
      </c>
      <c r="Q307" s="4" t="inlineStr">
        <is>
          <t>N/A</t>
        </is>
      </c>
      <c r="R307" s="8" t="n">
        <v>46254.79179863426</v>
      </c>
      <c r="S307" s="4" t="inlineStr">
        <is>
          <t>3.0.0</t>
        </is>
      </c>
      <c r="T307" s="4" t="inlineStr">
        <is>
          <t>1.8</t>
        </is>
      </c>
    </row>
    <row r="308">
      <c r="A308" s="4" t="inlineStr">
        <is>
          <t>Grizzly XL YO</t>
        </is>
      </c>
      <c r="B308" s="4" t="inlineStr">
        <is>
          <t>Master Model G25 Grizzly XL Relapse_TwoAge_B06</t>
        </is>
      </c>
      <c r="C308" s="4" t="inlineStr">
        <is>
          <t>JAGS_Male_2000</t>
        </is>
      </c>
      <c r="D308" s="5" t="n">
        <v>0.05</v>
      </c>
      <c r="E308" s="4" t="inlineStr">
        <is>
          <t>Variable</t>
        </is>
      </c>
      <c r="F308" s="4" t="inlineStr">
        <is>
          <t>Smoking initiation and cessation variable</t>
        </is>
      </c>
      <c r="G308" s="4" t="inlineStr">
        <is>
          <t>68 - 72</t>
        </is>
      </c>
      <c r="H308" s="4" t="inlineStr">
        <is>
          <t>ALL.T</t>
        </is>
      </c>
      <c r="I308" s="6" t="n">
        <v>679156.1300060001</v>
      </c>
      <c r="J308" s="7" t="n">
        <v>0.01</v>
      </c>
      <c r="K308" s="7" t="n">
        <v>0.009999999776482582</v>
      </c>
      <c r="L308" s="4" t="inlineStr">
        <is>
          <t>N/A</t>
        </is>
      </c>
      <c r="M308" s="4" t="inlineStr">
        <is>
          <t>N/A</t>
        </is>
      </c>
      <c r="N308" s="4" t="inlineStr">
        <is>
          <t>N/A</t>
        </is>
      </c>
      <c r="O308" s="4" t="inlineStr">
        <is>
          <t>N/A</t>
        </is>
      </c>
      <c r="P308" s="4" t="inlineStr">
        <is>
          <t>N/A</t>
        </is>
      </c>
      <c r="Q308" s="4" t="inlineStr">
        <is>
          <t>N/A</t>
        </is>
      </c>
      <c r="R308" s="8" t="n">
        <v>46254.79179863426</v>
      </c>
      <c r="S308" s="4" t="inlineStr">
        <is>
          <t>3.0.0</t>
        </is>
      </c>
      <c r="T308" s="4" t="inlineStr">
        <is>
          <t>1.8</t>
        </is>
      </c>
    </row>
    <row r="309">
      <c r="A309" s="4" t="inlineStr">
        <is>
          <t>Grizzly XL YO</t>
        </is>
      </c>
      <c r="B309" s="4" t="inlineStr">
        <is>
          <t>Master Model G25 Grizzly XL Relapse_TwoAge_B06</t>
        </is>
      </c>
      <c r="C309" s="4" t="inlineStr">
        <is>
          <t>JAGS_Male_2000</t>
        </is>
      </c>
      <c r="D309" s="5" t="n">
        <v>0.1</v>
      </c>
      <c r="E309" s="4" t="inlineStr">
        <is>
          <t>Variable</t>
        </is>
      </c>
      <c r="F309" s="4" t="inlineStr">
        <is>
          <t>Smoking initiation and cessation variable</t>
        </is>
      </c>
      <c r="G309" s="4" t="inlineStr">
        <is>
          <t>68 - 72</t>
        </is>
      </c>
      <c r="H309" s="4" t="inlineStr">
        <is>
          <t>DIFF_ALL</t>
        </is>
      </c>
      <c r="I309" s="6" t="n">
        <v>453.831205</v>
      </c>
      <c r="J309" s="7" t="n">
        <v>0.01</v>
      </c>
      <c r="K309" s="7" t="n">
        <v>0.009999999776482582</v>
      </c>
      <c r="L309" s="4" t="inlineStr">
        <is>
          <t>N/A</t>
        </is>
      </c>
      <c r="M309" s="4" t="inlineStr">
        <is>
          <t>N/A</t>
        </is>
      </c>
      <c r="N309" s="4" t="inlineStr">
        <is>
          <t>N/A</t>
        </is>
      </c>
      <c r="O309" s="4" t="inlineStr">
        <is>
          <t>N/A</t>
        </is>
      </c>
      <c r="P309" s="4" t="inlineStr">
        <is>
          <t>N/A</t>
        </is>
      </c>
      <c r="Q309" s="4" t="inlineStr">
        <is>
          <t>N/A</t>
        </is>
      </c>
      <c r="R309" s="8" t="n">
        <v>46254.79179914352</v>
      </c>
      <c r="S309" s="4" t="inlineStr">
        <is>
          <t>3.0.0</t>
        </is>
      </c>
      <c r="T309" s="4" t="inlineStr">
        <is>
          <t>1.8</t>
        </is>
      </c>
    </row>
    <row r="310">
      <c r="A310" s="4" t="inlineStr">
        <is>
          <t>Grizzly XL YO</t>
        </is>
      </c>
      <c r="B310" s="4" t="inlineStr">
        <is>
          <t>Master Model G25 Grizzly XL Relapse_TwoAge_B06</t>
        </is>
      </c>
      <c r="C310" s="4" t="inlineStr">
        <is>
          <t>JAGS_Male_2000</t>
        </is>
      </c>
      <c r="D310" s="5" t="n">
        <v>0.1</v>
      </c>
      <c r="E310" s="4" t="inlineStr">
        <is>
          <t>Variable</t>
        </is>
      </c>
      <c r="F310" s="4" t="inlineStr">
        <is>
          <t>Smoking initiation and cessation variable</t>
        </is>
      </c>
      <c r="G310" s="4" t="inlineStr">
        <is>
          <t>68 - 72</t>
        </is>
      </c>
      <c r="H310" s="4" t="inlineStr">
        <is>
          <t>ALL.T</t>
        </is>
      </c>
      <c r="I310" s="6" t="n">
        <v>679117.967211</v>
      </c>
      <c r="J310" s="7" t="n">
        <v>0.01</v>
      </c>
      <c r="K310" s="7" t="n">
        <v>0.009999999776482582</v>
      </c>
      <c r="L310" s="4" t="inlineStr">
        <is>
          <t>N/A</t>
        </is>
      </c>
      <c r="M310" s="4" t="inlineStr">
        <is>
          <t>N/A</t>
        </is>
      </c>
      <c r="N310" s="4" t="inlineStr">
        <is>
          <t>N/A</t>
        </is>
      </c>
      <c r="O310" s="4" t="inlineStr">
        <is>
          <t>N/A</t>
        </is>
      </c>
      <c r="P310" s="4" t="inlineStr">
        <is>
          <t>N/A</t>
        </is>
      </c>
      <c r="Q310" s="4" t="inlineStr">
        <is>
          <t>N/A</t>
        </is>
      </c>
      <c r="R310" s="8" t="n">
        <v>46254.79179914352</v>
      </c>
      <c r="S310" s="4" t="inlineStr">
        <is>
          <t>3.0.0</t>
        </is>
      </c>
      <c r="T310" s="4" t="inlineStr">
        <is>
          <t>1.8</t>
        </is>
      </c>
    </row>
    <row r="311">
      <c r="A311" s="4" t="inlineStr">
        <is>
          <t>Grizzly XL YO</t>
        </is>
      </c>
      <c r="B311" s="4" t="inlineStr">
        <is>
          <t>Master Model G25 Grizzly XL Relapse_TwoAge_B06</t>
        </is>
      </c>
      <c r="C311" s="4" t="inlineStr">
        <is>
          <t>JAGS_Female_2000</t>
        </is>
      </c>
      <c r="D311" s="5" t="n">
        <v>0.05</v>
      </c>
      <c r="E311" s="4" t="inlineStr">
        <is>
          <t>Variable</t>
        </is>
      </c>
      <c r="F311" s="4" t="inlineStr">
        <is>
          <t>Smoking initiation and cessation variable</t>
        </is>
      </c>
      <c r="G311" s="4" t="inlineStr">
        <is>
          <t>68 - 72</t>
        </is>
      </c>
      <c r="H311" s="4" t="inlineStr">
        <is>
          <t>DIFF_ALL</t>
        </is>
      </c>
      <c r="I311" s="6" t="n">
        <v>419.631702</v>
      </c>
      <c r="J311" s="7" t="n">
        <v>0.01</v>
      </c>
      <c r="K311" s="7" t="n">
        <v>0.009999999776482582</v>
      </c>
      <c r="L311" s="4" t="inlineStr">
        <is>
          <t>N/A</t>
        </is>
      </c>
      <c r="M311" s="4" t="inlineStr">
        <is>
          <t>N/A</t>
        </is>
      </c>
      <c r="N311" s="4" t="inlineStr">
        <is>
          <t>N/A</t>
        </is>
      </c>
      <c r="O311" s="4" t="inlineStr">
        <is>
          <t>N/A</t>
        </is>
      </c>
      <c r="P311" s="4" t="inlineStr">
        <is>
          <t>N/A</t>
        </is>
      </c>
      <c r="Q311" s="4" t="inlineStr">
        <is>
          <t>N/A</t>
        </is>
      </c>
      <c r="R311" s="8" t="n">
        <v>46254.79179966435</v>
      </c>
      <c r="S311" s="4" t="inlineStr">
        <is>
          <t>3.0.0</t>
        </is>
      </c>
      <c r="T311" s="4" t="inlineStr">
        <is>
          <t>1.8</t>
        </is>
      </c>
    </row>
    <row r="312">
      <c r="A312" s="4" t="inlineStr">
        <is>
          <t>Grizzly XL YO</t>
        </is>
      </c>
      <c r="B312" s="4" t="inlineStr">
        <is>
          <t>Master Model G25 Grizzly XL Relapse_TwoAge_B06</t>
        </is>
      </c>
      <c r="C312" s="4" t="inlineStr">
        <is>
          <t>JAGS_Female_2000</t>
        </is>
      </c>
      <c r="D312" s="5" t="n">
        <v>0.05</v>
      </c>
      <c r="E312" s="4" t="inlineStr">
        <is>
          <t>Variable</t>
        </is>
      </c>
      <c r="F312" s="4" t="inlineStr">
        <is>
          <t>Smoking initiation and cessation variable</t>
        </is>
      </c>
      <c r="G312" s="4" t="inlineStr">
        <is>
          <t>68 - 72</t>
        </is>
      </c>
      <c r="H312" s="4" t="inlineStr">
        <is>
          <t>ALL.T</t>
        </is>
      </c>
      <c r="I312" s="6" t="n">
        <v>785294.528749</v>
      </c>
      <c r="J312" s="7" t="n">
        <v>0.01</v>
      </c>
      <c r="K312" s="7" t="n">
        <v>0.009999999776482582</v>
      </c>
      <c r="L312" s="4" t="inlineStr">
        <is>
          <t>N/A</t>
        </is>
      </c>
      <c r="M312" s="4" t="inlineStr">
        <is>
          <t>N/A</t>
        </is>
      </c>
      <c r="N312" s="4" t="inlineStr">
        <is>
          <t>N/A</t>
        </is>
      </c>
      <c r="O312" s="4" t="inlineStr">
        <is>
          <t>N/A</t>
        </is>
      </c>
      <c r="P312" s="4" t="inlineStr">
        <is>
          <t>N/A</t>
        </is>
      </c>
      <c r="Q312" s="4" t="inlineStr">
        <is>
          <t>N/A</t>
        </is>
      </c>
      <c r="R312" s="8" t="n">
        <v>46254.79179966435</v>
      </c>
      <c r="S312" s="4" t="inlineStr">
        <is>
          <t>3.0.0</t>
        </is>
      </c>
      <c r="T312" s="4" t="inlineStr">
        <is>
          <t>1.8</t>
        </is>
      </c>
    </row>
    <row r="313">
      <c r="A313" s="4" t="inlineStr">
        <is>
          <t>Grizzly XL YO</t>
        </is>
      </c>
      <c r="B313" s="4" t="inlineStr">
        <is>
          <t>Master Model G25 Grizzly XL Relapse_TwoAge_B06</t>
        </is>
      </c>
      <c r="C313" s="4" t="inlineStr">
        <is>
          <t>JAGS_Female_2000</t>
        </is>
      </c>
      <c r="D313" s="5" t="n">
        <v>0.1</v>
      </c>
      <c r="E313" s="4" t="inlineStr">
        <is>
          <t>Variable</t>
        </is>
      </c>
      <c r="F313" s="4" t="inlineStr">
        <is>
          <t>Smoking initiation and cessation variable</t>
        </is>
      </c>
      <c r="G313" s="4" t="inlineStr">
        <is>
          <t>68 - 72</t>
        </is>
      </c>
      <c r="H313" s="4" t="inlineStr">
        <is>
          <t>DIFF_ALL</t>
        </is>
      </c>
      <c r="I313" s="6" t="n">
        <v>387.959711</v>
      </c>
      <c r="J313" s="7" t="n">
        <v>0.01</v>
      </c>
      <c r="K313" s="7" t="n">
        <v>0.009999999776482582</v>
      </c>
      <c r="L313" s="4" t="inlineStr">
        <is>
          <t>N/A</t>
        </is>
      </c>
      <c r="M313" s="4" t="inlineStr">
        <is>
          <t>N/A</t>
        </is>
      </c>
      <c r="N313" s="4" t="inlineStr">
        <is>
          <t>N/A</t>
        </is>
      </c>
      <c r="O313" s="4" t="inlineStr">
        <is>
          <t>N/A</t>
        </is>
      </c>
      <c r="P313" s="4" t="inlineStr">
        <is>
          <t>N/A</t>
        </is>
      </c>
      <c r="Q313" s="4" t="inlineStr">
        <is>
          <t>N/A</t>
        </is>
      </c>
      <c r="R313" s="8" t="n">
        <v>46254.79180011574</v>
      </c>
      <c r="S313" s="4" t="inlineStr">
        <is>
          <t>3.0.0</t>
        </is>
      </c>
      <c r="T313" s="4" t="inlineStr">
        <is>
          <t>1.8</t>
        </is>
      </c>
    </row>
    <row r="314">
      <c r="A314" s="4" t="inlineStr">
        <is>
          <t>Grizzly XL YO</t>
        </is>
      </c>
      <c r="B314" s="4" t="inlineStr">
        <is>
          <t>Master Model G25 Grizzly XL Relapse_TwoAge_B06</t>
        </is>
      </c>
      <c r="C314" s="4" t="inlineStr">
        <is>
          <t>JAGS_Female_2000</t>
        </is>
      </c>
      <c r="D314" s="5" t="n">
        <v>0.1</v>
      </c>
      <c r="E314" s="4" t="inlineStr">
        <is>
          <t>Variable</t>
        </is>
      </c>
      <c r="F314" s="4" t="inlineStr">
        <is>
          <t>Smoking initiation and cessation variable</t>
        </is>
      </c>
      <c r="G314" s="4" t="inlineStr">
        <is>
          <t>68 - 72</t>
        </is>
      </c>
      <c r="H314" s="4" t="inlineStr">
        <is>
          <t>ALL.T</t>
        </is>
      </c>
      <c r="I314" s="6" t="n">
        <v>785262.856758</v>
      </c>
      <c r="J314" s="7" t="n">
        <v>0.01</v>
      </c>
      <c r="K314" s="7" t="n">
        <v>0.009999999776482582</v>
      </c>
      <c r="L314" s="4" t="inlineStr">
        <is>
          <t>N/A</t>
        </is>
      </c>
      <c r="M314" s="4" t="inlineStr">
        <is>
          <t>N/A</t>
        </is>
      </c>
      <c r="N314" s="4" t="inlineStr">
        <is>
          <t>N/A</t>
        </is>
      </c>
      <c r="O314" s="4" t="inlineStr">
        <is>
          <t>N/A</t>
        </is>
      </c>
      <c r="P314" s="4" t="inlineStr">
        <is>
          <t>N/A</t>
        </is>
      </c>
      <c r="Q314" s="4" t="inlineStr">
        <is>
          <t>N/A</t>
        </is>
      </c>
      <c r="R314" s="8" t="n">
        <v>46254.79180011574</v>
      </c>
      <c r="S314" s="4" t="inlineStr">
        <is>
          <t>3.0.0</t>
        </is>
      </c>
      <c r="T314" s="4" t="inlineStr">
        <is>
          <t>1.8</t>
        </is>
      </c>
    </row>
    <row r="315">
      <c r="A315" s="4" t="inlineStr">
        <is>
          <t>Grizzly XL YO</t>
        </is>
      </c>
      <c r="B315" s="4" t="inlineStr">
        <is>
          <t>Master Model G25 Grizzly XL Relapse_TwoAge_B07</t>
        </is>
      </c>
      <c r="C315" s="4" t="inlineStr">
        <is>
          <t>JAGS_Male_2000</t>
        </is>
      </c>
      <c r="D315" s="5" t="n">
        <v>0.05</v>
      </c>
      <c r="E315" s="4" t="inlineStr">
        <is>
          <t>Variable</t>
        </is>
      </c>
      <c r="F315" s="4" t="inlineStr">
        <is>
          <t>Smoking initiation and cessation variable</t>
        </is>
      </c>
      <c r="G315" s="4" t="inlineStr">
        <is>
          <t>68 - 72</t>
        </is>
      </c>
      <c r="H315" s="4" t="inlineStr">
        <is>
          <t>DIFF_ALL</t>
        </is>
      </c>
      <c r="I315" s="6" t="n">
        <v>244.751253</v>
      </c>
      <c r="J315" s="7" t="n">
        <v>0.01</v>
      </c>
      <c r="K315" s="7" t="n">
        <v>0.009999999776482582</v>
      </c>
      <c r="L315" s="4" t="inlineStr">
        <is>
          <t>N/A</t>
        </is>
      </c>
      <c r="M315" s="4" t="inlineStr">
        <is>
          <t>N/A</t>
        </is>
      </c>
      <c r="N315" s="4" t="inlineStr">
        <is>
          <t>N/A</t>
        </is>
      </c>
      <c r="O315" s="4" t="inlineStr">
        <is>
          <t>N/A</t>
        </is>
      </c>
      <c r="P315" s="4" t="inlineStr">
        <is>
          <t>N/A</t>
        </is>
      </c>
      <c r="Q315" s="4" t="inlineStr">
        <is>
          <t>N/A</t>
        </is>
      </c>
      <c r="R315" s="8" t="n">
        <v>46254.79205511574</v>
      </c>
      <c r="S315" s="4" t="inlineStr">
        <is>
          <t>3.0.0</t>
        </is>
      </c>
      <c r="T315" s="4" t="inlineStr">
        <is>
          <t>1.8</t>
        </is>
      </c>
    </row>
    <row r="316">
      <c r="A316" s="4" t="inlineStr">
        <is>
          <t>Grizzly XL YO</t>
        </is>
      </c>
      <c r="B316" s="4" t="inlineStr">
        <is>
          <t>Master Model G25 Grizzly XL Relapse_TwoAge_B07</t>
        </is>
      </c>
      <c r="C316" s="4" t="inlineStr">
        <is>
          <t>JAGS_Male_2000</t>
        </is>
      </c>
      <c r="D316" s="5" t="n">
        <v>0.05</v>
      </c>
      <c r="E316" s="4" t="inlineStr">
        <is>
          <t>Variable</t>
        </is>
      </c>
      <c r="F316" s="4" t="inlineStr">
        <is>
          <t>Smoking initiation and cessation variable</t>
        </is>
      </c>
      <c r="G316" s="4" t="inlineStr">
        <is>
          <t>68 - 72</t>
        </is>
      </c>
      <c r="H316" s="4" t="inlineStr">
        <is>
          <t>ALL.T</t>
        </is>
      </c>
      <c r="I316" s="6" t="n">
        <v>678959.6894180001</v>
      </c>
      <c r="J316" s="7" t="n">
        <v>0.01</v>
      </c>
      <c r="K316" s="7" t="n">
        <v>0.009999999776482582</v>
      </c>
      <c r="L316" s="4" t="inlineStr">
        <is>
          <t>N/A</t>
        </is>
      </c>
      <c r="M316" s="4" t="inlineStr">
        <is>
          <t>N/A</t>
        </is>
      </c>
      <c r="N316" s="4" t="inlineStr">
        <is>
          <t>N/A</t>
        </is>
      </c>
      <c r="O316" s="4" t="inlineStr">
        <is>
          <t>N/A</t>
        </is>
      </c>
      <c r="P316" s="4" t="inlineStr">
        <is>
          <t>N/A</t>
        </is>
      </c>
      <c r="Q316" s="4" t="inlineStr">
        <is>
          <t>N/A</t>
        </is>
      </c>
      <c r="R316" s="8" t="n">
        <v>46254.79205511574</v>
      </c>
      <c r="S316" s="4" t="inlineStr">
        <is>
          <t>3.0.0</t>
        </is>
      </c>
      <c r="T316" s="4" t="inlineStr">
        <is>
          <t>1.8</t>
        </is>
      </c>
    </row>
    <row r="317">
      <c r="A317" s="4" t="inlineStr">
        <is>
          <t>Grizzly XL YO</t>
        </is>
      </c>
      <c r="B317" s="4" t="inlineStr">
        <is>
          <t>Master Model G25 Grizzly XL Relapse_TwoAge_B07</t>
        </is>
      </c>
      <c r="C317" s="4" t="inlineStr">
        <is>
          <t>JAGS_Male_2000</t>
        </is>
      </c>
      <c r="D317" s="5" t="n">
        <v>0.1</v>
      </c>
      <c r="E317" s="4" t="inlineStr">
        <is>
          <t>Variable</t>
        </is>
      </c>
      <c r="F317" s="4" t="inlineStr">
        <is>
          <t>Smoking initiation and cessation variable</t>
        </is>
      </c>
      <c r="G317" s="4" t="inlineStr">
        <is>
          <t>68 - 72</t>
        </is>
      </c>
      <c r="H317" s="4" t="inlineStr">
        <is>
          <t>DIFF_ALL</t>
        </is>
      </c>
      <c r="I317" s="6" t="n">
        <v>226.525272</v>
      </c>
      <c r="J317" s="7" t="n">
        <v>0.01</v>
      </c>
      <c r="K317" s="7" t="n">
        <v>0.009999999776482582</v>
      </c>
      <c r="L317" s="4" t="inlineStr">
        <is>
          <t>N/A</t>
        </is>
      </c>
      <c r="M317" s="4" t="inlineStr">
        <is>
          <t>N/A</t>
        </is>
      </c>
      <c r="N317" s="4" t="inlineStr">
        <is>
          <t>N/A</t>
        </is>
      </c>
      <c r="O317" s="4" t="inlineStr">
        <is>
          <t>N/A</t>
        </is>
      </c>
      <c r="P317" s="4" t="inlineStr">
        <is>
          <t>N/A</t>
        </is>
      </c>
      <c r="Q317" s="4" t="inlineStr">
        <is>
          <t>N/A</t>
        </is>
      </c>
      <c r="R317" s="8" t="n">
        <v>46254.79205569444</v>
      </c>
      <c r="S317" s="4" t="inlineStr">
        <is>
          <t>3.0.0</t>
        </is>
      </c>
      <c r="T317" s="4" t="inlineStr">
        <is>
          <t>1.8</t>
        </is>
      </c>
    </row>
    <row r="318">
      <c r="A318" s="4" t="inlineStr">
        <is>
          <t>Grizzly XL YO</t>
        </is>
      </c>
      <c r="B318" s="4" t="inlineStr">
        <is>
          <t>Master Model G25 Grizzly XL Relapse_TwoAge_B07</t>
        </is>
      </c>
      <c r="C318" s="4" t="inlineStr">
        <is>
          <t>JAGS_Male_2000</t>
        </is>
      </c>
      <c r="D318" s="5" t="n">
        <v>0.1</v>
      </c>
      <c r="E318" s="4" t="inlineStr">
        <is>
          <t>Variable</t>
        </is>
      </c>
      <c r="F318" s="4" t="inlineStr">
        <is>
          <t>Smoking initiation and cessation variable</t>
        </is>
      </c>
      <c r="G318" s="4" t="inlineStr">
        <is>
          <t>68 - 72</t>
        </is>
      </c>
      <c r="H318" s="4" t="inlineStr">
        <is>
          <t>ALL.T</t>
        </is>
      </c>
      <c r="I318" s="6" t="n">
        <v>678941.4634370001</v>
      </c>
      <c r="J318" s="7" t="n">
        <v>0.01</v>
      </c>
      <c r="K318" s="7" t="n">
        <v>0.009999999776482582</v>
      </c>
      <c r="L318" s="4" t="inlineStr">
        <is>
          <t>N/A</t>
        </is>
      </c>
      <c r="M318" s="4" t="inlineStr">
        <is>
          <t>N/A</t>
        </is>
      </c>
      <c r="N318" s="4" t="inlineStr">
        <is>
          <t>N/A</t>
        </is>
      </c>
      <c r="O318" s="4" t="inlineStr">
        <is>
          <t>N/A</t>
        </is>
      </c>
      <c r="P318" s="4" t="inlineStr">
        <is>
          <t>N/A</t>
        </is>
      </c>
      <c r="Q318" s="4" t="inlineStr">
        <is>
          <t>N/A</t>
        </is>
      </c>
      <c r="R318" s="8" t="n">
        <v>46254.79205569444</v>
      </c>
      <c r="S318" s="4" t="inlineStr">
        <is>
          <t>3.0.0</t>
        </is>
      </c>
      <c r="T318" s="4" t="inlineStr">
        <is>
          <t>1.8</t>
        </is>
      </c>
    </row>
    <row r="319">
      <c r="A319" s="4" t="inlineStr">
        <is>
          <t>Grizzly XL YO</t>
        </is>
      </c>
      <c r="B319" s="4" t="inlineStr">
        <is>
          <t>Master Model G25 Grizzly XL Relapse_TwoAge_B07</t>
        </is>
      </c>
      <c r="C319" s="4" t="inlineStr">
        <is>
          <t>JAGS_Female_2000</t>
        </is>
      </c>
      <c r="D319" s="5" t="n">
        <v>0.05</v>
      </c>
      <c r="E319" s="4" t="inlineStr">
        <is>
          <t>Variable</t>
        </is>
      </c>
      <c r="F319" s="4" t="inlineStr">
        <is>
          <t>Smoking initiation and cessation variable</t>
        </is>
      </c>
      <c r="G319" s="4" t="inlineStr">
        <is>
          <t>68 - 72</t>
        </is>
      </c>
      <c r="H319" s="4" t="inlineStr">
        <is>
          <t>DIFF_ALL</t>
        </is>
      </c>
      <c r="I319" s="6" t="n">
        <v>214.213432</v>
      </c>
      <c r="J319" s="7" t="n">
        <v>0.01</v>
      </c>
      <c r="K319" s="7" t="n">
        <v>0.009999999776482582</v>
      </c>
      <c r="L319" s="4" t="inlineStr">
        <is>
          <t>N/A</t>
        </is>
      </c>
      <c r="M319" s="4" t="inlineStr">
        <is>
          <t>N/A</t>
        </is>
      </c>
      <c r="N319" s="4" t="inlineStr">
        <is>
          <t>N/A</t>
        </is>
      </c>
      <c r="O319" s="4" t="inlineStr">
        <is>
          <t>N/A</t>
        </is>
      </c>
      <c r="P319" s="4" t="inlineStr">
        <is>
          <t>N/A</t>
        </is>
      </c>
      <c r="Q319" s="4" t="inlineStr">
        <is>
          <t>N/A</t>
        </is>
      </c>
      <c r="R319" s="8" t="n">
        <v>46254.79205622685</v>
      </c>
      <c r="S319" s="4" t="inlineStr">
        <is>
          <t>3.0.0</t>
        </is>
      </c>
      <c r="T319" s="4" t="inlineStr">
        <is>
          <t>1.8</t>
        </is>
      </c>
    </row>
    <row r="320">
      <c r="A320" s="4" t="inlineStr">
        <is>
          <t>Grizzly XL YO</t>
        </is>
      </c>
      <c r="B320" s="4" t="inlineStr">
        <is>
          <t>Master Model G25 Grizzly XL Relapse_TwoAge_B07</t>
        </is>
      </c>
      <c r="C320" s="4" t="inlineStr">
        <is>
          <t>JAGS_Female_2000</t>
        </is>
      </c>
      <c r="D320" s="5" t="n">
        <v>0.05</v>
      </c>
      <c r="E320" s="4" t="inlineStr">
        <is>
          <t>Variable</t>
        </is>
      </c>
      <c r="F320" s="4" t="inlineStr">
        <is>
          <t>Smoking initiation and cessation variable</t>
        </is>
      </c>
      <c r="G320" s="4" t="inlineStr">
        <is>
          <t>68 - 72</t>
        </is>
      </c>
      <c r="H320" s="4" t="inlineStr">
        <is>
          <t>ALL.T</t>
        </is>
      </c>
      <c r="I320" s="6" t="n">
        <v>785131.471491</v>
      </c>
      <c r="J320" s="7" t="n">
        <v>0.01</v>
      </c>
      <c r="K320" s="7" t="n">
        <v>0.009999999776482582</v>
      </c>
      <c r="L320" s="4" t="inlineStr">
        <is>
          <t>N/A</t>
        </is>
      </c>
      <c r="M320" s="4" t="inlineStr">
        <is>
          <t>N/A</t>
        </is>
      </c>
      <c r="N320" s="4" t="inlineStr">
        <is>
          <t>N/A</t>
        </is>
      </c>
      <c r="O320" s="4" t="inlineStr">
        <is>
          <t>N/A</t>
        </is>
      </c>
      <c r="P320" s="4" t="inlineStr">
        <is>
          <t>N/A</t>
        </is>
      </c>
      <c r="Q320" s="4" t="inlineStr">
        <is>
          <t>N/A</t>
        </is>
      </c>
      <c r="R320" s="8" t="n">
        <v>46254.79205622685</v>
      </c>
      <c r="S320" s="4" t="inlineStr">
        <is>
          <t>3.0.0</t>
        </is>
      </c>
      <c r="T320" s="4" t="inlineStr">
        <is>
          <t>1.8</t>
        </is>
      </c>
    </row>
    <row r="321">
      <c r="A321" s="4" t="inlineStr">
        <is>
          <t>Grizzly XL YO</t>
        </is>
      </c>
      <c r="B321" s="4" t="inlineStr">
        <is>
          <t>Master Model G25 Grizzly XL Relapse_TwoAge_B07</t>
        </is>
      </c>
      <c r="C321" s="4" t="inlineStr">
        <is>
          <t>JAGS_Female_2000</t>
        </is>
      </c>
      <c r="D321" s="5" t="n">
        <v>0.1</v>
      </c>
      <c r="E321" s="4" t="inlineStr">
        <is>
          <t>Variable</t>
        </is>
      </c>
      <c r="F321" s="4" t="inlineStr">
        <is>
          <t>Smoking initiation and cessation variable</t>
        </is>
      </c>
      <c r="G321" s="4" t="inlineStr">
        <is>
          <t>68 - 72</t>
        </is>
      </c>
      <c r="H321" s="4" t="inlineStr">
        <is>
          <t>DIFF_ALL</t>
        </is>
      </c>
      <c r="I321" s="6" t="n">
        <v>198.620043</v>
      </c>
      <c r="J321" s="7" t="n">
        <v>0.01</v>
      </c>
      <c r="K321" s="7" t="n">
        <v>0.009999999776482582</v>
      </c>
      <c r="L321" s="4" t="inlineStr">
        <is>
          <t>N/A</t>
        </is>
      </c>
      <c r="M321" s="4" t="inlineStr">
        <is>
          <t>N/A</t>
        </is>
      </c>
      <c r="N321" s="4" t="inlineStr">
        <is>
          <t>N/A</t>
        </is>
      </c>
      <c r="O321" s="4" t="inlineStr">
        <is>
          <t>N/A</t>
        </is>
      </c>
      <c r="P321" s="4" t="inlineStr">
        <is>
          <t>N/A</t>
        </is>
      </c>
      <c r="Q321" s="4" t="inlineStr">
        <is>
          <t>N/A</t>
        </is>
      </c>
      <c r="R321" s="8" t="n">
        <v>46254.79205736111</v>
      </c>
      <c r="S321" s="4" t="inlineStr">
        <is>
          <t>3.0.0</t>
        </is>
      </c>
      <c r="T321" s="4" t="inlineStr">
        <is>
          <t>1.8</t>
        </is>
      </c>
    </row>
    <row r="322">
      <c r="A322" s="4" t="inlineStr">
        <is>
          <t>Grizzly XL YO</t>
        </is>
      </c>
      <c r="B322" s="4" t="inlineStr">
        <is>
          <t>Master Model G25 Grizzly XL Relapse_TwoAge_B07</t>
        </is>
      </c>
      <c r="C322" s="4" t="inlineStr">
        <is>
          <t>JAGS_Female_2000</t>
        </is>
      </c>
      <c r="D322" s="5" t="n">
        <v>0.1</v>
      </c>
      <c r="E322" s="4" t="inlineStr">
        <is>
          <t>Variable</t>
        </is>
      </c>
      <c r="F322" s="4" t="inlineStr">
        <is>
          <t>Smoking initiation and cessation variable</t>
        </is>
      </c>
      <c r="G322" s="4" t="inlineStr">
        <is>
          <t>68 - 72</t>
        </is>
      </c>
      <c r="H322" s="4" t="inlineStr">
        <is>
          <t>ALL.T</t>
        </is>
      </c>
      <c r="I322" s="6" t="n">
        <v>785115.878103</v>
      </c>
      <c r="J322" s="7" t="n">
        <v>0.01</v>
      </c>
      <c r="K322" s="7" t="n">
        <v>0.009999999776482582</v>
      </c>
      <c r="L322" s="4" t="inlineStr">
        <is>
          <t>N/A</t>
        </is>
      </c>
      <c r="M322" s="4" t="inlineStr">
        <is>
          <t>N/A</t>
        </is>
      </c>
      <c r="N322" s="4" t="inlineStr">
        <is>
          <t>N/A</t>
        </is>
      </c>
      <c r="O322" s="4" t="inlineStr">
        <is>
          <t>N/A</t>
        </is>
      </c>
      <c r="P322" s="4" t="inlineStr">
        <is>
          <t>N/A</t>
        </is>
      </c>
      <c r="Q322" s="4" t="inlineStr">
        <is>
          <t>N/A</t>
        </is>
      </c>
      <c r="R322" s="8" t="n">
        <v>46254.79205736111</v>
      </c>
      <c r="S322" s="4" t="inlineStr">
        <is>
          <t>3.0.0</t>
        </is>
      </c>
      <c r="T322" s="4" t="inlineStr">
        <is>
          <t>1.8</t>
        </is>
      </c>
    </row>
    <row r="323">
      <c r="A323" s="4" t="inlineStr">
        <is>
          <t>Grizzly XL YO</t>
        </is>
      </c>
      <c r="B323" s="4" t="inlineStr">
        <is>
          <t>Master Model G25 Grizzly XL Relapse_TwoAge_B08</t>
        </is>
      </c>
      <c r="C323" s="4" t="inlineStr">
        <is>
          <t>JAGS_Male_2000</t>
        </is>
      </c>
      <c r="D323" s="5" t="n">
        <v>0.05</v>
      </c>
      <c r="E323" s="4" t="inlineStr">
        <is>
          <t>Variable</t>
        </is>
      </c>
      <c r="F323" s="4" t="inlineStr">
        <is>
          <t>Smoking initiation and cessation variable</t>
        </is>
      </c>
      <c r="G323" s="4" t="inlineStr">
        <is>
          <t>68 - 72</t>
        </is>
      </c>
      <c r="H323" s="4" t="inlineStr">
        <is>
          <t>DIFF_ALL</t>
        </is>
      </c>
      <c r="I323" s="6" t="n">
        <v>80.56328600000001</v>
      </c>
      <c r="J323" s="7" t="n">
        <v>0.01</v>
      </c>
      <c r="K323" s="7" t="n">
        <v>0.009999999776482582</v>
      </c>
      <c r="L323" s="4" t="inlineStr">
        <is>
          <t>N/A</t>
        </is>
      </c>
      <c r="M323" s="4" t="inlineStr">
        <is>
          <t>N/A</t>
        </is>
      </c>
      <c r="N323" s="4" t="inlineStr">
        <is>
          <t>N/A</t>
        </is>
      </c>
      <c r="O323" s="4" t="inlineStr">
        <is>
          <t>N/A</t>
        </is>
      </c>
      <c r="P323" s="4" t="inlineStr">
        <is>
          <t>N/A</t>
        </is>
      </c>
      <c r="Q323" s="4" t="inlineStr">
        <is>
          <t>N/A</t>
        </is>
      </c>
      <c r="R323" s="8" t="n">
        <v>46254.79251269676</v>
      </c>
      <c r="S323" s="4" t="inlineStr">
        <is>
          <t>3.0.0</t>
        </is>
      </c>
      <c r="T323" s="4" t="inlineStr">
        <is>
          <t>1.8</t>
        </is>
      </c>
    </row>
    <row r="324">
      <c r="A324" s="4" t="inlineStr">
        <is>
          <t>Grizzly XL YO</t>
        </is>
      </c>
      <c r="B324" s="4" t="inlineStr">
        <is>
          <t>Master Model G25 Grizzly XL Relapse_TwoAge_B08</t>
        </is>
      </c>
      <c r="C324" s="4" t="inlineStr">
        <is>
          <t>JAGS_Male_2000</t>
        </is>
      </c>
      <c r="D324" s="5" t="n">
        <v>0.05</v>
      </c>
      <c r="E324" s="4" t="inlineStr">
        <is>
          <t>Variable</t>
        </is>
      </c>
      <c r="F324" s="4" t="inlineStr">
        <is>
          <t>Smoking initiation and cessation variable</t>
        </is>
      </c>
      <c r="G324" s="4" t="inlineStr">
        <is>
          <t>68 - 72</t>
        </is>
      </c>
      <c r="H324" s="4" t="inlineStr">
        <is>
          <t>ALL.T</t>
        </is>
      </c>
      <c r="I324" s="6" t="n">
        <v>678833.420864</v>
      </c>
      <c r="J324" s="7" t="n">
        <v>0.01</v>
      </c>
      <c r="K324" s="7" t="n">
        <v>0.009999999776482582</v>
      </c>
      <c r="L324" s="4" t="inlineStr">
        <is>
          <t>N/A</t>
        </is>
      </c>
      <c r="M324" s="4" t="inlineStr">
        <is>
          <t>N/A</t>
        </is>
      </c>
      <c r="N324" s="4" t="inlineStr">
        <is>
          <t>N/A</t>
        </is>
      </c>
      <c r="O324" s="4" t="inlineStr">
        <is>
          <t>N/A</t>
        </is>
      </c>
      <c r="P324" s="4" t="inlineStr">
        <is>
          <t>N/A</t>
        </is>
      </c>
      <c r="Q324" s="4" t="inlineStr">
        <is>
          <t>N/A</t>
        </is>
      </c>
      <c r="R324" s="8" t="n">
        <v>46254.79251269676</v>
      </c>
      <c r="S324" s="4" t="inlineStr">
        <is>
          <t>3.0.0</t>
        </is>
      </c>
      <c r="T324" s="4" t="inlineStr">
        <is>
          <t>1.8</t>
        </is>
      </c>
    </row>
    <row r="325">
      <c r="A325" s="4" t="inlineStr">
        <is>
          <t>Grizzly XL YO</t>
        </is>
      </c>
      <c r="B325" s="4" t="inlineStr">
        <is>
          <t>Master Model G25 Grizzly XL Relapse_TwoAge_B08</t>
        </is>
      </c>
      <c r="C325" s="4" t="inlineStr">
        <is>
          <t>JAGS_Male_2000</t>
        </is>
      </c>
      <c r="D325" s="5" t="n">
        <v>0.1</v>
      </c>
      <c r="E325" s="4" t="inlineStr">
        <is>
          <t>Variable</t>
        </is>
      </c>
      <c r="F325" s="4" t="inlineStr">
        <is>
          <t>Smoking initiation and cessation variable</t>
        </is>
      </c>
      <c r="G325" s="4" t="inlineStr">
        <is>
          <t>68 - 72</t>
        </is>
      </c>
      <c r="H325" s="4" t="inlineStr">
        <is>
          <t>DIFF_ALL</t>
        </is>
      </c>
      <c r="I325" s="6" t="n">
        <v>75.079645</v>
      </c>
      <c r="J325" s="7" t="n">
        <v>0.01</v>
      </c>
      <c r="K325" s="7" t="n">
        <v>0.009999999776482582</v>
      </c>
      <c r="L325" s="4" t="inlineStr">
        <is>
          <t>N/A</t>
        </is>
      </c>
      <c r="M325" s="4" t="inlineStr">
        <is>
          <t>N/A</t>
        </is>
      </c>
      <c r="N325" s="4" t="inlineStr">
        <is>
          <t>N/A</t>
        </is>
      </c>
      <c r="O325" s="4" t="inlineStr">
        <is>
          <t>N/A</t>
        </is>
      </c>
      <c r="P325" s="4" t="inlineStr">
        <is>
          <t>N/A</t>
        </is>
      </c>
      <c r="Q325" s="4" t="inlineStr">
        <is>
          <t>N/A</t>
        </is>
      </c>
      <c r="R325" s="8" t="n">
        <v>46254.79251325232</v>
      </c>
      <c r="S325" s="4" t="inlineStr">
        <is>
          <t>3.0.0</t>
        </is>
      </c>
      <c r="T325" s="4" t="inlineStr">
        <is>
          <t>1.8</t>
        </is>
      </c>
    </row>
    <row r="326">
      <c r="A326" s="4" t="inlineStr">
        <is>
          <t>Grizzly XL YO</t>
        </is>
      </c>
      <c r="B326" s="4" t="inlineStr">
        <is>
          <t>Master Model G25 Grizzly XL Relapse_TwoAge_B08</t>
        </is>
      </c>
      <c r="C326" s="4" t="inlineStr">
        <is>
          <t>JAGS_Male_2000</t>
        </is>
      </c>
      <c r="D326" s="5" t="n">
        <v>0.1</v>
      </c>
      <c r="E326" s="4" t="inlineStr">
        <is>
          <t>Variable</t>
        </is>
      </c>
      <c r="F326" s="4" t="inlineStr">
        <is>
          <t>Smoking initiation and cessation variable</t>
        </is>
      </c>
      <c r="G326" s="4" t="inlineStr">
        <is>
          <t>68 - 72</t>
        </is>
      </c>
      <c r="H326" s="4" t="inlineStr">
        <is>
          <t>ALL.T</t>
        </is>
      </c>
      <c r="I326" s="6" t="n">
        <v>678827.937224</v>
      </c>
      <c r="J326" s="7" t="n">
        <v>0.01</v>
      </c>
      <c r="K326" s="7" t="n">
        <v>0.009999999776482582</v>
      </c>
      <c r="L326" s="4" t="inlineStr">
        <is>
          <t>N/A</t>
        </is>
      </c>
      <c r="M326" s="4" t="inlineStr">
        <is>
          <t>N/A</t>
        </is>
      </c>
      <c r="N326" s="4" t="inlineStr">
        <is>
          <t>N/A</t>
        </is>
      </c>
      <c r="O326" s="4" t="inlineStr">
        <is>
          <t>N/A</t>
        </is>
      </c>
      <c r="P326" s="4" t="inlineStr">
        <is>
          <t>N/A</t>
        </is>
      </c>
      <c r="Q326" s="4" t="inlineStr">
        <is>
          <t>N/A</t>
        </is>
      </c>
      <c r="R326" s="8" t="n">
        <v>46254.79251325232</v>
      </c>
      <c r="S326" s="4" t="inlineStr">
        <is>
          <t>3.0.0</t>
        </is>
      </c>
      <c r="T326" s="4" t="inlineStr">
        <is>
          <t>1.8</t>
        </is>
      </c>
    </row>
    <row r="327">
      <c r="A327" s="4" t="inlineStr">
        <is>
          <t>Grizzly XL YO</t>
        </is>
      </c>
      <c r="B327" s="4" t="inlineStr">
        <is>
          <t>Master Model G25 Grizzly XL Relapse_TwoAge_B08</t>
        </is>
      </c>
      <c r="C327" s="4" t="inlineStr">
        <is>
          <t>JAGS_Female_2000</t>
        </is>
      </c>
      <c r="D327" s="5" t="n">
        <v>0.05</v>
      </c>
      <c r="E327" s="4" t="inlineStr">
        <is>
          <t>Variable</t>
        </is>
      </c>
      <c r="F327" s="4" t="inlineStr">
        <is>
          <t>Smoking initiation and cessation variable</t>
        </is>
      </c>
      <c r="G327" s="4" t="inlineStr">
        <is>
          <t>68 - 72</t>
        </is>
      </c>
      <c r="H327" s="4" t="inlineStr">
        <is>
          <t>DIFF_ALL</t>
        </is>
      </c>
      <c r="I327" s="6" t="n">
        <v>72.521475</v>
      </c>
      <c r="J327" s="7" t="n">
        <v>0.01</v>
      </c>
      <c r="K327" s="7" t="n">
        <v>0.009999999776482582</v>
      </c>
      <c r="L327" s="4" t="inlineStr">
        <is>
          <t>N/A</t>
        </is>
      </c>
      <c r="M327" s="4" t="inlineStr">
        <is>
          <t>N/A</t>
        </is>
      </c>
      <c r="N327" s="4" t="inlineStr">
        <is>
          <t>N/A</t>
        </is>
      </c>
      <c r="O327" s="4" t="inlineStr">
        <is>
          <t>N/A</t>
        </is>
      </c>
      <c r="P327" s="4" t="inlineStr">
        <is>
          <t>N/A</t>
        </is>
      </c>
      <c r="Q327" s="4" t="inlineStr">
        <is>
          <t>N/A</t>
        </is>
      </c>
      <c r="R327" s="8" t="n">
        <v>46254.79251380787</v>
      </c>
      <c r="S327" s="4" t="inlineStr">
        <is>
          <t>3.0.0</t>
        </is>
      </c>
      <c r="T327" s="4" t="inlineStr">
        <is>
          <t>1.8</t>
        </is>
      </c>
    </row>
    <row r="328">
      <c r="A328" s="4" t="inlineStr">
        <is>
          <t>Grizzly XL YO</t>
        </is>
      </c>
      <c r="B328" s="4" t="inlineStr">
        <is>
          <t>Master Model G25 Grizzly XL Relapse_TwoAge_B08</t>
        </is>
      </c>
      <c r="C328" s="4" t="inlineStr">
        <is>
          <t>JAGS_Female_2000</t>
        </is>
      </c>
      <c r="D328" s="5" t="n">
        <v>0.05</v>
      </c>
      <c r="E328" s="4" t="inlineStr">
        <is>
          <t>Variable</t>
        </is>
      </c>
      <c r="F328" s="4" t="inlineStr">
        <is>
          <t>Smoking initiation and cessation variable</t>
        </is>
      </c>
      <c r="G328" s="4" t="inlineStr">
        <is>
          <t>68 - 72</t>
        </is>
      </c>
      <c r="H328" s="4" t="inlineStr">
        <is>
          <t>ALL.T</t>
        </is>
      </c>
      <c r="I328" s="6" t="n">
        <v>785022.374766</v>
      </c>
      <c r="J328" s="7" t="n">
        <v>0.01</v>
      </c>
      <c r="K328" s="7" t="n">
        <v>0.009999999776482582</v>
      </c>
      <c r="L328" s="4" t="inlineStr">
        <is>
          <t>N/A</t>
        </is>
      </c>
      <c r="M328" s="4" t="inlineStr">
        <is>
          <t>N/A</t>
        </is>
      </c>
      <c r="N328" s="4" t="inlineStr">
        <is>
          <t>N/A</t>
        </is>
      </c>
      <c r="O328" s="4" t="inlineStr">
        <is>
          <t>N/A</t>
        </is>
      </c>
      <c r="P328" s="4" t="inlineStr">
        <is>
          <t>N/A</t>
        </is>
      </c>
      <c r="Q328" s="4" t="inlineStr">
        <is>
          <t>N/A</t>
        </is>
      </c>
      <c r="R328" s="8" t="n">
        <v>46254.79251380787</v>
      </c>
      <c r="S328" s="4" t="inlineStr">
        <is>
          <t>3.0.0</t>
        </is>
      </c>
      <c r="T328" s="4" t="inlineStr">
        <is>
          <t>1.8</t>
        </is>
      </c>
    </row>
    <row r="329">
      <c r="A329" s="4" t="inlineStr">
        <is>
          <t>Grizzly XL YO</t>
        </is>
      </c>
      <c r="B329" s="4" t="inlineStr">
        <is>
          <t>Master Model G25 Grizzly XL Relapse_TwoAge_B08</t>
        </is>
      </c>
      <c r="C329" s="4" t="inlineStr">
        <is>
          <t>JAGS_Female_2000</t>
        </is>
      </c>
      <c r="D329" s="5" t="n">
        <v>0.1</v>
      </c>
      <c r="E329" s="4" t="inlineStr">
        <is>
          <t>Variable</t>
        </is>
      </c>
      <c r="F329" s="4" t="inlineStr">
        <is>
          <t>Smoking initiation and cessation variable</t>
        </is>
      </c>
      <c r="G329" s="4" t="inlineStr">
        <is>
          <t>68 - 72</t>
        </is>
      </c>
      <c r="H329" s="4" t="inlineStr">
        <is>
          <t>DIFF_ALL</t>
        </is>
      </c>
      <c r="I329" s="6" t="n">
        <v>67.65795900000001</v>
      </c>
      <c r="J329" s="7" t="n">
        <v>0.01</v>
      </c>
      <c r="K329" s="7" t="n">
        <v>0.009999999776482582</v>
      </c>
      <c r="L329" s="4" t="inlineStr">
        <is>
          <t>N/A</t>
        </is>
      </c>
      <c r="M329" s="4" t="inlineStr">
        <is>
          <t>N/A</t>
        </is>
      </c>
      <c r="N329" s="4" t="inlineStr">
        <is>
          <t>N/A</t>
        </is>
      </c>
      <c r="O329" s="4" t="inlineStr">
        <is>
          <t>N/A</t>
        </is>
      </c>
      <c r="P329" s="4" t="inlineStr">
        <is>
          <t>N/A</t>
        </is>
      </c>
      <c r="Q329" s="4" t="inlineStr">
        <is>
          <t>N/A</t>
        </is>
      </c>
      <c r="R329" s="8" t="n">
        <v>46254.79251467592</v>
      </c>
      <c r="S329" s="4" t="inlineStr">
        <is>
          <t>3.0.0</t>
        </is>
      </c>
      <c r="T329" s="4" t="inlineStr">
        <is>
          <t>1.8</t>
        </is>
      </c>
    </row>
    <row r="330">
      <c r="A330" s="4" t="inlineStr">
        <is>
          <t>Grizzly XL YO</t>
        </is>
      </c>
      <c r="B330" s="4" t="inlineStr">
        <is>
          <t>Master Model G25 Grizzly XL Relapse_TwoAge_B08</t>
        </is>
      </c>
      <c r="C330" s="4" t="inlineStr">
        <is>
          <t>JAGS_Female_2000</t>
        </is>
      </c>
      <c r="D330" s="5" t="n">
        <v>0.1</v>
      </c>
      <c r="E330" s="4" t="inlineStr">
        <is>
          <t>Variable</t>
        </is>
      </c>
      <c r="F330" s="4" t="inlineStr">
        <is>
          <t>Smoking initiation and cessation variable</t>
        </is>
      </c>
      <c r="G330" s="4" t="inlineStr">
        <is>
          <t>68 - 72</t>
        </is>
      </c>
      <c r="H330" s="4" t="inlineStr">
        <is>
          <t>ALL.T</t>
        </is>
      </c>
      <c r="I330" s="6" t="n">
        <v>785017.51125</v>
      </c>
      <c r="J330" s="7" t="n">
        <v>0.01</v>
      </c>
      <c r="K330" s="7" t="n">
        <v>0.009999999776482582</v>
      </c>
      <c r="L330" s="4" t="inlineStr">
        <is>
          <t>N/A</t>
        </is>
      </c>
      <c r="M330" s="4" t="inlineStr">
        <is>
          <t>N/A</t>
        </is>
      </c>
      <c r="N330" s="4" t="inlineStr">
        <is>
          <t>N/A</t>
        </is>
      </c>
      <c r="O330" s="4" t="inlineStr">
        <is>
          <t>N/A</t>
        </is>
      </c>
      <c r="P330" s="4" t="inlineStr">
        <is>
          <t>N/A</t>
        </is>
      </c>
      <c r="Q330" s="4" t="inlineStr">
        <is>
          <t>N/A</t>
        </is>
      </c>
      <c r="R330" s="8" t="n">
        <v>46254.79251467592</v>
      </c>
      <c r="S330" s="4" t="inlineStr">
        <is>
          <t>3.0.0</t>
        </is>
      </c>
      <c r="T330" s="4" t="inlineStr">
        <is>
          <t>1.8</t>
        </is>
      </c>
    </row>
    <row r="331">
      <c r="A331" s="4" t="inlineStr">
        <is>
          <t>Grizzly XL YO</t>
        </is>
      </c>
      <c r="B331" s="4" t="inlineStr">
        <is>
          <t>Master Model G25 Grizzly XL Relapse_TwoAge_B09</t>
        </is>
      </c>
      <c r="C331" s="4" t="inlineStr">
        <is>
          <t>JAGS_Male_2000</t>
        </is>
      </c>
      <c r="D331" s="5" t="n">
        <v>0.05</v>
      </c>
      <c r="E331" s="4" t="inlineStr">
        <is>
          <t>Variable</t>
        </is>
      </c>
      <c r="F331" s="4" t="inlineStr">
        <is>
          <t>Smoking initiation and cessation variable</t>
        </is>
      </c>
      <c r="G331" s="4" t="inlineStr">
        <is>
          <t>68 - 72</t>
        </is>
      </c>
      <c r="H331" s="4" t="inlineStr">
        <is>
          <t>DIFF_ALL</t>
        </is>
      </c>
      <c r="I331" s="6" t="n">
        <v>22.738443</v>
      </c>
      <c r="J331" s="7" t="n">
        <v>0.01</v>
      </c>
      <c r="K331" s="7" t="n">
        <v>0.009999999776482582</v>
      </c>
      <c r="L331" s="4" t="inlineStr">
        <is>
          <t>N/A</t>
        </is>
      </c>
      <c r="M331" s="4" t="inlineStr">
        <is>
          <t>N/A</t>
        </is>
      </c>
      <c r="N331" s="4" t="inlineStr">
        <is>
          <t>N/A</t>
        </is>
      </c>
      <c r="O331" s="4" t="inlineStr">
        <is>
          <t>N/A</t>
        </is>
      </c>
      <c r="P331" s="4" t="inlineStr">
        <is>
          <t>N/A</t>
        </is>
      </c>
      <c r="Q331" s="4" t="inlineStr">
        <is>
          <t>N/A</t>
        </is>
      </c>
      <c r="R331" s="8" t="n">
        <v>46254.7927246875</v>
      </c>
      <c r="S331" s="4" t="inlineStr">
        <is>
          <t>3.0.0</t>
        </is>
      </c>
      <c r="T331" s="4" t="inlineStr">
        <is>
          <t>1.8</t>
        </is>
      </c>
    </row>
    <row r="332">
      <c r="A332" s="4" t="inlineStr">
        <is>
          <t>Grizzly XL YO</t>
        </is>
      </c>
      <c r="B332" s="4" t="inlineStr">
        <is>
          <t>Master Model G25 Grizzly XL Relapse_TwoAge_B09</t>
        </is>
      </c>
      <c r="C332" s="4" t="inlineStr">
        <is>
          <t>JAGS_Male_2000</t>
        </is>
      </c>
      <c r="D332" s="5" t="n">
        <v>0.05</v>
      </c>
      <c r="E332" s="4" t="inlineStr">
        <is>
          <t>Variable</t>
        </is>
      </c>
      <c r="F332" s="4" t="inlineStr">
        <is>
          <t>Smoking initiation and cessation variable</t>
        </is>
      </c>
      <c r="G332" s="4" t="inlineStr">
        <is>
          <t>68 - 72</t>
        </is>
      </c>
      <c r="H332" s="4" t="inlineStr">
        <is>
          <t>ALL.T</t>
        </is>
      </c>
      <c r="I332" s="6" t="n">
        <v>678781.057071</v>
      </c>
      <c r="J332" s="7" t="n">
        <v>0.01</v>
      </c>
      <c r="K332" s="7" t="n">
        <v>0.009999999776482582</v>
      </c>
      <c r="L332" s="4" t="inlineStr">
        <is>
          <t>N/A</t>
        </is>
      </c>
      <c r="M332" s="4" t="inlineStr">
        <is>
          <t>N/A</t>
        </is>
      </c>
      <c r="N332" s="4" t="inlineStr">
        <is>
          <t>N/A</t>
        </is>
      </c>
      <c r="O332" s="4" t="inlineStr">
        <is>
          <t>N/A</t>
        </is>
      </c>
      <c r="P332" s="4" t="inlineStr">
        <is>
          <t>N/A</t>
        </is>
      </c>
      <c r="Q332" s="4" t="inlineStr">
        <is>
          <t>N/A</t>
        </is>
      </c>
      <c r="R332" s="8" t="n">
        <v>46254.7927246875</v>
      </c>
      <c r="S332" s="4" t="inlineStr">
        <is>
          <t>3.0.0</t>
        </is>
      </c>
      <c r="T332" s="4" t="inlineStr">
        <is>
          <t>1.8</t>
        </is>
      </c>
    </row>
    <row r="333">
      <c r="A333" s="4" t="inlineStr">
        <is>
          <t>Grizzly XL YO</t>
        </is>
      </c>
      <c r="B333" s="4" t="inlineStr">
        <is>
          <t>Master Model G25 Grizzly XL Relapse_TwoAge_B09</t>
        </is>
      </c>
      <c r="C333" s="4" t="inlineStr">
        <is>
          <t>JAGS_Male_2000</t>
        </is>
      </c>
      <c r="D333" s="5" t="n">
        <v>0.1</v>
      </c>
      <c r="E333" s="4" t="inlineStr">
        <is>
          <t>Variable</t>
        </is>
      </c>
      <c r="F333" s="4" t="inlineStr">
        <is>
          <t>Smoking initiation and cessation variable</t>
        </is>
      </c>
      <c r="G333" s="4" t="inlineStr">
        <is>
          <t>68 - 72</t>
        </is>
      </c>
      <c r="H333" s="4" t="inlineStr">
        <is>
          <t>DIFF_ALL</t>
        </is>
      </c>
      <c r="I333" s="6" t="n">
        <v>21.066542</v>
      </c>
      <c r="J333" s="7" t="n">
        <v>0.01</v>
      </c>
      <c r="K333" s="7" t="n">
        <v>0.009999999776482582</v>
      </c>
      <c r="L333" s="4" t="inlineStr">
        <is>
          <t>N/A</t>
        </is>
      </c>
      <c r="M333" s="4" t="inlineStr">
        <is>
          <t>N/A</t>
        </is>
      </c>
      <c r="N333" s="4" t="inlineStr">
        <is>
          <t>N/A</t>
        </is>
      </c>
      <c r="O333" s="4" t="inlineStr">
        <is>
          <t>N/A</t>
        </is>
      </c>
      <c r="P333" s="4" t="inlineStr">
        <is>
          <t>N/A</t>
        </is>
      </c>
      <c r="Q333" s="4" t="inlineStr">
        <is>
          <t>N/A</t>
        </is>
      </c>
      <c r="R333" s="8" t="n">
        <v>46254.7927296412</v>
      </c>
      <c r="S333" s="4" t="inlineStr">
        <is>
          <t>3.0.0</t>
        </is>
      </c>
      <c r="T333" s="4" t="inlineStr">
        <is>
          <t>1.8</t>
        </is>
      </c>
    </row>
    <row r="334">
      <c r="A334" s="4" t="inlineStr">
        <is>
          <t>Grizzly XL YO</t>
        </is>
      </c>
      <c r="B334" s="4" t="inlineStr">
        <is>
          <t>Master Model G25 Grizzly XL Relapse_TwoAge_B09</t>
        </is>
      </c>
      <c r="C334" s="4" t="inlineStr">
        <is>
          <t>JAGS_Male_2000</t>
        </is>
      </c>
      <c r="D334" s="5" t="n">
        <v>0.1</v>
      </c>
      <c r="E334" s="4" t="inlineStr">
        <is>
          <t>Variable</t>
        </is>
      </c>
      <c r="F334" s="4" t="inlineStr">
        <is>
          <t>Smoking initiation and cessation variable</t>
        </is>
      </c>
      <c r="G334" s="4" t="inlineStr">
        <is>
          <t>68 - 72</t>
        </is>
      </c>
      <c r="H334" s="4" t="inlineStr">
        <is>
          <t>ALL.T</t>
        </is>
      </c>
      <c r="I334" s="6" t="n">
        <v>678779.38517</v>
      </c>
      <c r="J334" s="7" t="n">
        <v>0.01</v>
      </c>
      <c r="K334" s="7" t="n">
        <v>0.009999999776482582</v>
      </c>
      <c r="L334" s="4" t="inlineStr">
        <is>
          <t>N/A</t>
        </is>
      </c>
      <c r="M334" s="4" t="inlineStr">
        <is>
          <t>N/A</t>
        </is>
      </c>
      <c r="N334" s="4" t="inlineStr">
        <is>
          <t>N/A</t>
        </is>
      </c>
      <c r="O334" s="4" t="inlineStr">
        <is>
          <t>N/A</t>
        </is>
      </c>
      <c r="P334" s="4" t="inlineStr">
        <is>
          <t>N/A</t>
        </is>
      </c>
      <c r="Q334" s="4" t="inlineStr">
        <is>
          <t>N/A</t>
        </is>
      </c>
      <c r="R334" s="8" t="n">
        <v>46254.7927296412</v>
      </c>
      <c r="S334" s="4" t="inlineStr">
        <is>
          <t>3.0.0</t>
        </is>
      </c>
      <c r="T334" s="4" t="inlineStr">
        <is>
          <t>1.8</t>
        </is>
      </c>
    </row>
    <row r="335">
      <c r="A335" s="4" t="inlineStr">
        <is>
          <t>Grizzly XL YO</t>
        </is>
      </c>
      <c r="B335" s="4" t="inlineStr">
        <is>
          <t>Master Model G25 Grizzly XL Relapse_TwoAge_B09</t>
        </is>
      </c>
      <c r="C335" s="4" t="inlineStr">
        <is>
          <t>JAGS_Female_2000</t>
        </is>
      </c>
      <c r="D335" s="5" t="n">
        <v>0.05</v>
      </c>
      <c r="E335" s="4" t="inlineStr">
        <is>
          <t>Variable</t>
        </is>
      </c>
      <c r="F335" s="4" t="inlineStr">
        <is>
          <t>Smoking initiation and cessation variable</t>
        </is>
      </c>
      <c r="G335" s="4" t="inlineStr">
        <is>
          <t>68 - 72</t>
        </is>
      </c>
      <c r="H335" s="4" t="inlineStr">
        <is>
          <t>DIFF_ALL</t>
        </is>
      </c>
      <c r="I335" s="6" t="n">
        <v>21.167072</v>
      </c>
      <c r="J335" s="7" t="n">
        <v>0.01</v>
      </c>
      <c r="K335" s="7" t="n">
        <v>0.009999999776482582</v>
      </c>
      <c r="L335" s="4" t="inlineStr">
        <is>
          <t>N/A</t>
        </is>
      </c>
      <c r="M335" s="4" t="inlineStr">
        <is>
          <t>N/A</t>
        </is>
      </c>
      <c r="N335" s="4" t="inlineStr">
        <is>
          <t>N/A</t>
        </is>
      </c>
      <c r="O335" s="4" t="inlineStr">
        <is>
          <t>N/A</t>
        </is>
      </c>
      <c r="P335" s="4" t="inlineStr">
        <is>
          <t>N/A</t>
        </is>
      </c>
      <c r="Q335" s="4" t="inlineStr">
        <is>
          <t>N/A</t>
        </is>
      </c>
      <c r="R335" s="8" t="n">
        <v>46254.79273502315</v>
      </c>
      <c r="S335" s="4" t="inlineStr">
        <is>
          <t>3.0.0</t>
        </is>
      </c>
      <c r="T335" s="4" t="inlineStr">
        <is>
          <t>1.8</t>
        </is>
      </c>
    </row>
    <row r="336">
      <c r="A336" s="4" t="inlineStr">
        <is>
          <t>Grizzly XL YO</t>
        </is>
      </c>
      <c r="B336" s="4" t="inlineStr">
        <is>
          <t>Master Model G25 Grizzly XL Relapse_TwoAge_B09</t>
        </is>
      </c>
      <c r="C336" s="4" t="inlineStr">
        <is>
          <t>JAGS_Female_2000</t>
        </is>
      </c>
      <c r="D336" s="5" t="n">
        <v>0.05</v>
      </c>
      <c r="E336" s="4" t="inlineStr">
        <is>
          <t>Variable</t>
        </is>
      </c>
      <c r="F336" s="4" t="inlineStr">
        <is>
          <t>Smoking initiation and cessation variable</t>
        </is>
      </c>
      <c r="G336" s="4" t="inlineStr">
        <is>
          <t>68 - 72</t>
        </is>
      </c>
      <c r="H336" s="4" t="inlineStr">
        <is>
          <t>ALL.T</t>
        </is>
      </c>
      <c r="I336" s="6" t="n">
        <v>784975.7594409999</v>
      </c>
      <c r="J336" s="7" t="n">
        <v>0.01</v>
      </c>
      <c r="K336" s="7" t="n">
        <v>0.009999999776482582</v>
      </c>
      <c r="L336" s="4" t="inlineStr">
        <is>
          <t>N/A</t>
        </is>
      </c>
      <c r="M336" s="4" t="inlineStr">
        <is>
          <t>N/A</t>
        </is>
      </c>
      <c r="N336" s="4" t="inlineStr">
        <is>
          <t>N/A</t>
        </is>
      </c>
      <c r="O336" s="4" t="inlineStr">
        <is>
          <t>N/A</t>
        </is>
      </c>
      <c r="P336" s="4" t="inlineStr">
        <is>
          <t>N/A</t>
        </is>
      </c>
      <c r="Q336" s="4" t="inlineStr">
        <is>
          <t>N/A</t>
        </is>
      </c>
      <c r="R336" s="8" t="n">
        <v>46254.79273502315</v>
      </c>
      <c r="S336" s="4" t="inlineStr">
        <is>
          <t>3.0.0</t>
        </is>
      </c>
      <c r="T336" s="4" t="inlineStr">
        <is>
          <t>1.8</t>
        </is>
      </c>
    </row>
    <row r="337">
      <c r="A337" s="4" t="inlineStr">
        <is>
          <t>Grizzly XL YO</t>
        </is>
      </c>
      <c r="B337" s="4" t="inlineStr">
        <is>
          <t>Master Model G25 Grizzly XL Relapse_TwoAge_B09</t>
        </is>
      </c>
      <c r="C337" s="4" t="inlineStr">
        <is>
          <t>JAGS_Female_2000</t>
        </is>
      </c>
      <c r="D337" s="5" t="n">
        <v>0.1</v>
      </c>
      <c r="E337" s="4" t="inlineStr">
        <is>
          <t>Variable</t>
        </is>
      </c>
      <c r="F337" s="4" t="inlineStr">
        <is>
          <t>Smoking initiation and cessation variable</t>
        </is>
      </c>
      <c r="G337" s="4" t="inlineStr">
        <is>
          <t>68 - 72</t>
        </is>
      </c>
      <c r="H337" s="4" t="inlineStr">
        <is>
          <t>DIFF_ALL</t>
        </is>
      </c>
      <c r="I337" s="6" t="n">
        <v>19.623824</v>
      </c>
      <c r="J337" s="7" t="n">
        <v>0.01</v>
      </c>
      <c r="K337" s="7" t="n">
        <v>0.009999999776482582</v>
      </c>
      <c r="L337" s="4" t="inlineStr">
        <is>
          <t>N/A</t>
        </is>
      </c>
      <c r="M337" s="4" t="inlineStr">
        <is>
          <t>N/A</t>
        </is>
      </c>
      <c r="N337" s="4" t="inlineStr">
        <is>
          <t>N/A</t>
        </is>
      </c>
      <c r="O337" s="4" t="inlineStr">
        <is>
          <t>N/A</t>
        </is>
      </c>
      <c r="P337" s="4" t="inlineStr">
        <is>
          <t>N/A</t>
        </is>
      </c>
      <c r="Q337" s="4" t="inlineStr">
        <is>
          <t>N/A</t>
        </is>
      </c>
      <c r="R337" s="8" t="n">
        <v>46254.79273803241</v>
      </c>
      <c r="S337" s="4" t="inlineStr">
        <is>
          <t>3.0.0</t>
        </is>
      </c>
      <c r="T337" s="4" t="inlineStr">
        <is>
          <t>1.8</t>
        </is>
      </c>
    </row>
    <row r="338">
      <c r="A338" s="4" t="inlineStr">
        <is>
          <t>Grizzly XL YO</t>
        </is>
      </c>
      <c r="B338" s="4" t="inlineStr">
        <is>
          <t>Master Model G25 Grizzly XL Relapse_TwoAge_B09</t>
        </is>
      </c>
      <c r="C338" s="4" t="inlineStr">
        <is>
          <t>JAGS_Female_2000</t>
        </is>
      </c>
      <c r="D338" s="5" t="n">
        <v>0.1</v>
      </c>
      <c r="E338" s="4" t="inlineStr">
        <is>
          <t>Variable</t>
        </is>
      </c>
      <c r="F338" s="4" t="inlineStr">
        <is>
          <t>Smoking initiation and cessation variable</t>
        </is>
      </c>
      <c r="G338" s="4" t="inlineStr">
        <is>
          <t>68 - 72</t>
        </is>
      </c>
      <c r="H338" s="4" t="inlineStr">
        <is>
          <t>ALL.T</t>
        </is>
      </c>
      <c r="I338" s="6" t="n">
        <v>784974.216193</v>
      </c>
      <c r="J338" s="7" t="n">
        <v>0.01</v>
      </c>
      <c r="K338" s="7" t="n">
        <v>0.009999999776482582</v>
      </c>
      <c r="L338" s="4" t="inlineStr">
        <is>
          <t>N/A</t>
        </is>
      </c>
      <c r="M338" s="4" t="inlineStr">
        <is>
          <t>N/A</t>
        </is>
      </c>
      <c r="N338" s="4" t="inlineStr">
        <is>
          <t>N/A</t>
        </is>
      </c>
      <c r="O338" s="4" t="inlineStr">
        <is>
          <t>N/A</t>
        </is>
      </c>
      <c r="P338" s="4" t="inlineStr">
        <is>
          <t>N/A</t>
        </is>
      </c>
      <c r="Q338" s="4" t="inlineStr">
        <is>
          <t>N/A</t>
        </is>
      </c>
      <c r="R338" s="8" t="n">
        <v>46254.79273803241</v>
      </c>
      <c r="S338" s="4" t="inlineStr">
        <is>
          <t>3.0.0</t>
        </is>
      </c>
      <c r="T338" s="4" t="inlineStr">
        <is>
          <t>1.8</t>
        </is>
      </c>
    </row>
    <row r="339">
      <c r="A339" s="4" t="inlineStr">
        <is>
          <t>Grizzly XL YO</t>
        </is>
      </c>
      <c r="B339" s="4" t="inlineStr">
        <is>
          <t>Master Model G25 Grizzly XL Relapse_TwoAge_B10</t>
        </is>
      </c>
      <c r="C339" s="4" t="inlineStr">
        <is>
          <t>JAGS_Male_2000</t>
        </is>
      </c>
      <c r="D339" s="5" t="n">
        <v>0.05</v>
      </c>
      <c r="E339" s="4" t="inlineStr">
        <is>
          <t>Variable</t>
        </is>
      </c>
      <c r="F339" s="4" t="inlineStr">
        <is>
          <t>Smoking initiation and cessation variable</t>
        </is>
      </c>
      <c r="G339" s="4" t="inlineStr">
        <is>
          <t>68 - 72</t>
        </is>
      </c>
      <c r="H339" s="4" t="inlineStr">
        <is>
          <t>DIFF_ALL</t>
        </is>
      </c>
      <c r="I339" s="6" t="n">
        <v>8.770486999999999</v>
      </c>
      <c r="J339" s="7" t="n">
        <v>0.01</v>
      </c>
      <c r="K339" s="7" t="n">
        <v>0.009999999776482582</v>
      </c>
      <c r="L339" s="4" t="inlineStr">
        <is>
          <t>N/A</t>
        </is>
      </c>
      <c r="M339" s="4" t="inlineStr">
        <is>
          <t>N/A</t>
        </is>
      </c>
      <c r="N339" s="4" t="inlineStr">
        <is>
          <t>N/A</t>
        </is>
      </c>
      <c r="O339" s="4" t="inlineStr">
        <is>
          <t>N/A</t>
        </is>
      </c>
      <c r="P339" s="4" t="inlineStr">
        <is>
          <t>N/A</t>
        </is>
      </c>
      <c r="Q339" s="4" t="inlineStr">
        <is>
          <t>N/A</t>
        </is>
      </c>
      <c r="R339" s="8" t="n">
        <v>46254.79303891204</v>
      </c>
      <c r="S339" s="4" t="inlineStr">
        <is>
          <t>3.0.0</t>
        </is>
      </c>
      <c r="T339" s="4" t="inlineStr">
        <is>
          <t>1.8</t>
        </is>
      </c>
    </row>
    <row r="340">
      <c r="A340" s="4" t="inlineStr">
        <is>
          <t>Grizzly XL YO</t>
        </is>
      </c>
      <c r="B340" s="4" t="inlineStr">
        <is>
          <t>Master Model G25 Grizzly XL Relapse_TwoAge_B10</t>
        </is>
      </c>
      <c r="C340" s="4" t="inlineStr">
        <is>
          <t>JAGS_Male_2000</t>
        </is>
      </c>
      <c r="D340" s="5" t="n">
        <v>0.05</v>
      </c>
      <c r="E340" s="4" t="inlineStr">
        <is>
          <t>Variable</t>
        </is>
      </c>
      <c r="F340" s="4" t="inlineStr">
        <is>
          <t>Smoking initiation and cessation variable</t>
        </is>
      </c>
      <c r="G340" s="4" t="inlineStr">
        <is>
          <t>68 - 72</t>
        </is>
      </c>
      <c r="H340" s="4" t="inlineStr">
        <is>
          <t>ALL.T</t>
        </is>
      </c>
      <c r="I340" s="6" t="n">
        <v>678771.057958</v>
      </c>
      <c r="J340" s="7" t="n">
        <v>0.01</v>
      </c>
      <c r="K340" s="7" t="n">
        <v>0.009999999776482582</v>
      </c>
      <c r="L340" s="4" t="inlineStr">
        <is>
          <t>N/A</t>
        </is>
      </c>
      <c r="M340" s="4" t="inlineStr">
        <is>
          <t>N/A</t>
        </is>
      </c>
      <c r="N340" s="4" t="inlineStr">
        <is>
          <t>N/A</t>
        </is>
      </c>
      <c r="O340" s="4" t="inlineStr">
        <is>
          <t>N/A</t>
        </is>
      </c>
      <c r="P340" s="4" t="inlineStr">
        <is>
          <t>N/A</t>
        </is>
      </c>
      <c r="Q340" s="4" t="inlineStr">
        <is>
          <t>N/A</t>
        </is>
      </c>
      <c r="R340" s="8" t="n">
        <v>46254.79303891204</v>
      </c>
      <c r="S340" s="4" t="inlineStr">
        <is>
          <t>3.0.0</t>
        </is>
      </c>
      <c r="T340" s="4" t="inlineStr">
        <is>
          <t>1.8</t>
        </is>
      </c>
    </row>
    <row r="341">
      <c r="A341" s="4" t="inlineStr">
        <is>
          <t>Grizzly XL YO</t>
        </is>
      </c>
      <c r="B341" s="4" t="inlineStr">
        <is>
          <t>Master Model G25 Grizzly XL Relapse_TwoAge_B10</t>
        </is>
      </c>
      <c r="C341" s="4" t="inlineStr">
        <is>
          <t>JAGS_Male_2000</t>
        </is>
      </c>
      <c r="D341" s="5" t="n">
        <v>0.1</v>
      </c>
      <c r="E341" s="4" t="inlineStr">
        <is>
          <t>Variable</t>
        </is>
      </c>
      <c r="F341" s="4" t="inlineStr">
        <is>
          <t>Smoking initiation and cessation variable</t>
        </is>
      </c>
      <c r="G341" s="4" t="inlineStr">
        <is>
          <t>68 - 72</t>
        </is>
      </c>
      <c r="H341" s="4" t="inlineStr">
        <is>
          <t>DIFF_ALL</t>
        </is>
      </c>
      <c r="I341" s="6" t="n">
        <v>8.129179000000001</v>
      </c>
      <c r="J341" s="7" t="n">
        <v>0.01</v>
      </c>
      <c r="K341" s="7" t="n">
        <v>0.009999999776482582</v>
      </c>
      <c r="L341" s="4" t="inlineStr">
        <is>
          <t>N/A</t>
        </is>
      </c>
      <c r="M341" s="4" t="inlineStr">
        <is>
          <t>N/A</t>
        </is>
      </c>
      <c r="N341" s="4" t="inlineStr">
        <is>
          <t>N/A</t>
        </is>
      </c>
      <c r="O341" s="4" t="inlineStr">
        <is>
          <t>N/A</t>
        </is>
      </c>
      <c r="P341" s="4" t="inlineStr">
        <is>
          <t>N/A</t>
        </is>
      </c>
      <c r="Q341" s="4" t="inlineStr">
        <is>
          <t>N/A</t>
        </is>
      </c>
      <c r="R341" s="8" t="n">
        <v>46254.79303944444</v>
      </c>
      <c r="S341" s="4" t="inlineStr">
        <is>
          <t>3.0.0</t>
        </is>
      </c>
      <c r="T341" s="4" t="inlineStr">
        <is>
          <t>1.8</t>
        </is>
      </c>
    </row>
    <row r="342">
      <c r="A342" s="4" t="inlineStr">
        <is>
          <t>Grizzly XL YO</t>
        </is>
      </c>
      <c r="B342" s="4" t="inlineStr">
        <is>
          <t>Master Model G25 Grizzly XL Relapse_TwoAge_B10</t>
        </is>
      </c>
      <c r="C342" s="4" t="inlineStr">
        <is>
          <t>JAGS_Male_2000</t>
        </is>
      </c>
      <c r="D342" s="5" t="n">
        <v>0.1</v>
      </c>
      <c r="E342" s="4" t="inlineStr">
        <is>
          <t>Variable</t>
        </is>
      </c>
      <c r="F342" s="4" t="inlineStr">
        <is>
          <t>Smoking initiation and cessation variable</t>
        </is>
      </c>
      <c r="G342" s="4" t="inlineStr">
        <is>
          <t>68 - 72</t>
        </is>
      </c>
      <c r="H342" s="4" t="inlineStr">
        <is>
          <t>ALL.T</t>
        </is>
      </c>
      <c r="I342" s="6" t="n">
        <v>678770.416649</v>
      </c>
      <c r="J342" s="7" t="n">
        <v>0.01</v>
      </c>
      <c r="K342" s="7" t="n">
        <v>0.009999999776482582</v>
      </c>
      <c r="L342" s="4" t="inlineStr">
        <is>
          <t>N/A</t>
        </is>
      </c>
      <c r="M342" s="4" t="inlineStr">
        <is>
          <t>N/A</t>
        </is>
      </c>
      <c r="N342" s="4" t="inlineStr">
        <is>
          <t>N/A</t>
        </is>
      </c>
      <c r="O342" s="4" t="inlineStr">
        <is>
          <t>N/A</t>
        </is>
      </c>
      <c r="P342" s="4" t="inlineStr">
        <is>
          <t>N/A</t>
        </is>
      </c>
      <c r="Q342" s="4" t="inlineStr">
        <is>
          <t>N/A</t>
        </is>
      </c>
      <c r="R342" s="8" t="n">
        <v>46254.79303944444</v>
      </c>
      <c r="S342" s="4" t="inlineStr">
        <is>
          <t>3.0.0</t>
        </is>
      </c>
      <c r="T342" s="4" t="inlineStr">
        <is>
          <t>1.8</t>
        </is>
      </c>
    </row>
    <row r="343">
      <c r="A343" s="4" t="inlineStr">
        <is>
          <t>Grizzly XL YO</t>
        </is>
      </c>
      <c r="B343" s="4" t="inlineStr">
        <is>
          <t>Master Model G25 Grizzly XL Relapse_TwoAge_B10</t>
        </is>
      </c>
      <c r="C343" s="4" t="inlineStr">
        <is>
          <t>JAGS_Female_2000</t>
        </is>
      </c>
      <c r="D343" s="5" t="n">
        <v>0.05</v>
      </c>
      <c r="E343" s="4" t="inlineStr">
        <is>
          <t>Variable</t>
        </is>
      </c>
      <c r="F343" s="4" t="inlineStr">
        <is>
          <t>Smoking initiation and cessation variable</t>
        </is>
      </c>
      <c r="G343" s="4" t="inlineStr">
        <is>
          <t>68 - 72</t>
        </is>
      </c>
      <c r="H343" s="4" t="inlineStr">
        <is>
          <t>DIFF_ALL</t>
        </is>
      </c>
      <c r="I343" s="6" t="n">
        <v>8.409509999999999</v>
      </c>
      <c r="J343" s="7" t="n">
        <v>0.01</v>
      </c>
      <c r="K343" s="7" t="n">
        <v>0.009999999776482582</v>
      </c>
      <c r="L343" s="4" t="inlineStr">
        <is>
          <t>N/A</t>
        </is>
      </c>
      <c r="M343" s="4" t="inlineStr">
        <is>
          <t>N/A</t>
        </is>
      </c>
      <c r="N343" s="4" t="inlineStr">
        <is>
          <t>N/A</t>
        </is>
      </c>
      <c r="O343" s="4" t="inlineStr">
        <is>
          <t>N/A</t>
        </is>
      </c>
      <c r="P343" s="4" t="inlineStr">
        <is>
          <t>N/A</t>
        </is>
      </c>
      <c r="Q343" s="4" t="inlineStr">
        <is>
          <t>N/A</t>
        </is>
      </c>
      <c r="R343" s="8" t="n">
        <v>46254.79303994213</v>
      </c>
      <c r="S343" s="4" t="inlineStr">
        <is>
          <t>3.0.0</t>
        </is>
      </c>
      <c r="T343" s="4" t="inlineStr">
        <is>
          <t>1.8</t>
        </is>
      </c>
    </row>
    <row r="344">
      <c r="A344" s="4" t="inlineStr">
        <is>
          <t>Grizzly XL YO</t>
        </is>
      </c>
      <c r="B344" s="4" t="inlineStr">
        <is>
          <t>Master Model G25 Grizzly XL Relapse_TwoAge_B10</t>
        </is>
      </c>
      <c r="C344" s="4" t="inlineStr">
        <is>
          <t>JAGS_Female_2000</t>
        </is>
      </c>
      <c r="D344" s="5" t="n">
        <v>0.05</v>
      </c>
      <c r="E344" s="4" t="inlineStr">
        <is>
          <t>Variable</t>
        </is>
      </c>
      <c r="F344" s="4" t="inlineStr">
        <is>
          <t>Smoking initiation and cessation variable</t>
        </is>
      </c>
      <c r="G344" s="4" t="inlineStr">
        <is>
          <t>68 - 72</t>
        </is>
      </c>
      <c r="H344" s="4" t="inlineStr">
        <is>
          <t>ALL.T</t>
        </is>
      </c>
      <c r="I344" s="6" t="n">
        <v>784966.612075</v>
      </c>
      <c r="J344" s="7" t="n">
        <v>0.01</v>
      </c>
      <c r="K344" s="7" t="n">
        <v>0.009999999776482582</v>
      </c>
      <c r="L344" s="4" t="inlineStr">
        <is>
          <t>N/A</t>
        </is>
      </c>
      <c r="M344" s="4" t="inlineStr">
        <is>
          <t>N/A</t>
        </is>
      </c>
      <c r="N344" s="4" t="inlineStr">
        <is>
          <t>N/A</t>
        </is>
      </c>
      <c r="O344" s="4" t="inlineStr">
        <is>
          <t>N/A</t>
        </is>
      </c>
      <c r="P344" s="4" t="inlineStr">
        <is>
          <t>N/A</t>
        </is>
      </c>
      <c r="Q344" s="4" t="inlineStr">
        <is>
          <t>N/A</t>
        </is>
      </c>
      <c r="R344" s="8" t="n">
        <v>46254.79303994213</v>
      </c>
      <c r="S344" s="4" t="inlineStr">
        <is>
          <t>3.0.0</t>
        </is>
      </c>
      <c r="T344" s="4" t="inlineStr">
        <is>
          <t>1.8</t>
        </is>
      </c>
    </row>
    <row r="345">
      <c r="A345" s="4" t="inlineStr">
        <is>
          <t>Grizzly XL YO</t>
        </is>
      </c>
      <c r="B345" s="4" t="inlineStr">
        <is>
          <t>Master Model G25 Grizzly XL Relapse_TwoAge_B10</t>
        </is>
      </c>
      <c r="C345" s="4" t="inlineStr">
        <is>
          <t>JAGS_Female_2000</t>
        </is>
      </c>
      <c r="D345" s="5" t="n">
        <v>0.1</v>
      </c>
      <c r="E345" s="4" t="inlineStr">
        <is>
          <t>Variable</t>
        </is>
      </c>
      <c r="F345" s="4" t="inlineStr">
        <is>
          <t>Smoking initiation and cessation variable</t>
        </is>
      </c>
      <c r="G345" s="4" t="inlineStr">
        <is>
          <t>68 - 72</t>
        </is>
      </c>
      <c r="H345" s="4" t="inlineStr">
        <is>
          <t>DIFF_ALL</t>
        </is>
      </c>
      <c r="I345" s="6" t="n">
        <v>7.796792</v>
      </c>
      <c r="J345" s="7" t="n">
        <v>0.01</v>
      </c>
      <c r="K345" s="7" t="n">
        <v>0.009999999776482582</v>
      </c>
      <c r="L345" s="4" t="inlineStr">
        <is>
          <t>N/A</t>
        </is>
      </c>
      <c r="M345" s="4" t="inlineStr">
        <is>
          <t>N/A</t>
        </is>
      </c>
      <c r="N345" s="4" t="inlineStr">
        <is>
          <t>N/A</t>
        </is>
      </c>
      <c r="O345" s="4" t="inlineStr">
        <is>
          <t>N/A</t>
        </is>
      </c>
      <c r="P345" s="4" t="inlineStr">
        <is>
          <t>N/A</t>
        </is>
      </c>
      <c r="Q345" s="4" t="inlineStr">
        <is>
          <t>N/A</t>
        </is>
      </c>
      <c r="R345" s="8" t="n">
        <v>46254.79304046297</v>
      </c>
      <c r="S345" s="4" t="inlineStr">
        <is>
          <t>3.0.0</t>
        </is>
      </c>
      <c r="T345" s="4" t="inlineStr">
        <is>
          <t>1.8</t>
        </is>
      </c>
    </row>
    <row r="346">
      <c r="A346" s="4" t="inlineStr">
        <is>
          <t>Grizzly XL YO</t>
        </is>
      </c>
      <c r="B346" s="4" t="inlineStr">
        <is>
          <t>Master Model G25 Grizzly XL Relapse_TwoAge_B10</t>
        </is>
      </c>
      <c r="C346" s="4" t="inlineStr">
        <is>
          <t>JAGS_Female_2000</t>
        </is>
      </c>
      <c r="D346" s="5" t="n">
        <v>0.1</v>
      </c>
      <c r="E346" s="4" t="inlineStr">
        <is>
          <t>Variable</t>
        </is>
      </c>
      <c r="F346" s="4" t="inlineStr">
        <is>
          <t>Smoking initiation and cessation variable</t>
        </is>
      </c>
      <c r="G346" s="4" t="inlineStr">
        <is>
          <t>68 - 72</t>
        </is>
      </c>
      <c r="H346" s="4" t="inlineStr">
        <is>
          <t>ALL.T</t>
        </is>
      </c>
      <c r="I346" s="6" t="n">
        <v>784965.999357</v>
      </c>
      <c r="J346" s="7" t="n">
        <v>0.01</v>
      </c>
      <c r="K346" s="7" t="n">
        <v>0.009999999776482582</v>
      </c>
      <c r="L346" s="4" t="inlineStr">
        <is>
          <t>N/A</t>
        </is>
      </c>
      <c r="M346" s="4" t="inlineStr">
        <is>
          <t>N/A</t>
        </is>
      </c>
      <c r="N346" s="4" t="inlineStr">
        <is>
          <t>N/A</t>
        </is>
      </c>
      <c r="O346" s="4" t="inlineStr">
        <is>
          <t>N/A</t>
        </is>
      </c>
      <c r="P346" s="4" t="inlineStr">
        <is>
          <t>N/A</t>
        </is>
      </c>
      <c r="Q346" s="4" t="inlineStr">
        <is>
          <t>N/A</t>
        </is>
      </c>
      <c r="R346" s="8" t="n">
        <v>46254.79304046297</v>
      </c>
      <c r="S346" s="4" t="inlineStr">
        <is>
          <t>3.0.0</t>
        </is>
      </c>
      <c r="T346" s="4" t="inlineStr">
        <is>
          <t>1.8</t>
        </is>
      </c>
    </row>
    <row r="347">
      <c r="A347" s="4" t="inlineStr">
        <is>
          <t>Grizzly XL YO</t>
        </is>
      </c>
      <c r="B347" s="4" t="inlineStr">
        <is>
          <t>Master Model G25 Grizzly XL Relapse_TwoAge_B11</t>
        </is>
      </c>
      <c r="C347" s="4" t="inlineStr">
        <is>
          <t>JAGS_Male_2000</t>
        </is>
      </c>
      <c r="D347" s="5" t="n">
        <v>0.05</v>
      </c>
      <c r="E347" s="4" t="inlineStr">
        <is>
          <t>Variable</t>
        </is>
      </c>
      <c r="F347" s="4" t="inlineStr">
        <is>
          <t>Smoking initiation and cessation variable</t>
        </is>
      </c>
      <c r="G347" s="4" t="inlineStr">
        <is>
          <t>68 - 72</t>
        </is>
      </c>
      <c r="H347" s="4" t="inlineStr">
        <is>
          <t>DIFF_ALL</t>
        </is>
      </c>
      <c r="I347" s="6" t="n">
        <v>2.221931</v>
      </c>
      <c r="J347" s="7" t="n">
        <v>0.01</v>
      </c>
      <c r="K347" s="7" t="n">
        <v>0.009999999776482582</v>
      </c>
      <c r="L347" s="4" t="inlineStr">
        <is>
          <t>N/A</t>
        </is>
      </c>
      <c r="M347" s="4" t="inlineStr">
        <is>
          <t>N/A</t>
        </is>
      </c>
      <c r="N347" s="4" t="inlineStr">
        <is>
          <t>N/A</t>
        </is>
      </c>
      <c r="O347" s="4" t="inlineStr">
        <is>
          <t>N/A</t>
        </is>
      </c>
      <c r="P347" s="4" t="inlineStr">
        <is>
          <t>N/A</t>
        </is>
      </c>
      <c r="Q347" s="4" t="inlineStr">
        <is>
          <t>N/A</t>
        </is>
      </c>
      <c r="R347" s="8" t="n">
        <v>46254.79322894676</v>
      </c>
      <c r="S347" s="4" t="inlineStr">
        <is>
          <t>3.0.0</t>
        </is>
      </c>
      <c r="T347" s="4" t="inlineStr">
        <is>
          <t>1.8</t>
        </is>
      </c>
    </row>
    <row r="348">
      <c r="A348" s="4" t="inlineStr">
        <is>
          <t>Grizzly XL YO</t>
        </is>
      </c>
      <c r="B348" s="4" t="inlineStr">
        <is>
          <t>Master Model G25 Grizzly XL Relapse_TwoAge_B11</t>
        </is>
      </c>
      <c r="C348" s="4" t="inlineStr">
        <is>
          <t>JAGS_Male_2000</t>
        </is>
      </c>
      <c r="D348" s="5" t="n">
        <v>0.05</v>
      </c>
      <c r="E348" s="4" t="inlineStr">
        <is>
          <t>Variable</t>
        </is>
      </c>
      <c r="F348" s="4" t="inlineStr">
        <is>
          <t>Smoking initiation and cessation variable</t>
        </is>
      </c>
      <c r="G348" s="4" t="inlineStr">
        <is>
          <t>68 - 72</t>
        </is>
      </c>
      <c r="H348" s="4" t="inlineStr">
        <is>
          <t>ALL.T</t>
        </is>
      </c>
      <c r="I348" s="6" t="n">
        <v>678766.9316989999</v>
      </c>
      <c r="J348" s="7" t="n">
        <v>0.01</v>
      </c>
      <c r="K348" s="7" t="n">
        <v>0.009999999776482582</v>
      </c>
      <c r="L348" s="4" t="inlineStr">
        <is>
          <t>N/A</t>
        </is>
      </c>
      <c r="M348" s="4" t="inlineStr">
        <is>
          <t>N/A</t>
        </is>
      </c>
      <c r="N348" s="4" t="inlineStr">
        <is>
          <t>N/A</t>
        </is>
      </c>
      <c r="O348" s="4" t="inlineStr">
        <is>
          <t>N/A</t>
        </is>
      </c>
      <c r="P348" s="4" t="inlineStr">
        <is>
          <t>N/A</t>
        </is>
      </c>
      <c r="Q348" s="4" t="inlineStr">
        <is>
          <t>N/A</t>
        </is>
      </c>
      <c r="R348" s="8" t="n">
        <v>46254.79322894676</v>
      </c>
      <c r="S348" s="4" t="inlineStr">
        <is>
          <t>3.0.0</t>
        </is>
      </c>
      <c r="T348" s="4" t="inlineStr">
        <is>
          <t>1.8</t>
        </is>
      </c>
    </row>
    <row r="349">
      <c r="A349" s="4" t="inlineStr">
        <is>
          <t>Grizzly XL YO</t>
        </is>
      </c>
      <c r="B349" s="4" t="inlineStr">
        <is>
          <t>Master Model G25 Grizzly XL Relapse_TwoAge_B11</t>
        </is>
      </c>
      <c r="C349" s="4" t="inlineStr">
        <is>
          <t>JAGS_Male_2000</t>
        </is>
      </c>
      <c r="D349" s="5" t="n">
        <v>0.1</v>
      </c>
      <c r="E349" s="4" t="inlineStr">
        <is>
          <t>Variable</t>
        </is>
      </c>
      <c r="F349" s="4" t="inlineStr">
        <is>
          <t>Smoking initiation and cessation variable</t>
        </is>
      </c>
      <c r="G349" s="4" t="inlineStr">
        <is>
          <t>68 - 72</t>
        </is>
      </c>
      <c r="H349" s="4" t="inlineStr">
        <is>
          <t>DIFF_ALL</t>
        </is>
      </c>
      <c r="I349" s="6" t="n">
        <v>2.064766</v>
      </c>
      <c r="J349" s="7" t="n">
        <v>0.01</v>
      </c>
      <c r="K349" s="7" t="n">
        <v>0.009999999776482582</v>
      </c>
      <c r="L349" s="4" t="inlineStr">
        <is>
          <t>N/A</t>
        </is>
      </c>
      <c r="M349" s="4" t="inlineStr">
        <is>
          <t>N/A</t>
        </is>
      </c>
      <c r="N349" s="4" t="inlineStr">
        <is>
          <t>N/A</t>
        </is>
      </c>
      <c r="O349" s="4" t="inlineStr">
        <is>
          <t>N/A</t>
        </is>
      </c>
      <c r="P349" s="4" t="inlineStr">
        <is>
          <t>N/A</t>
        </is>
      </c>
      <c r="Q349" s="4" t="inlineStr">
        <is>
          <t>N/A</t>
        </is>
      </c>
      <c r="R349" s="8" t="n">
        <v>46254.79322952546</v>
      </c>
      <c r="S349" s="4" t="inlineStr">
        <is>
          <t>3.0.0</t>
        </is>
      </c>
      <c r="T349" s="4" t="inlineStr">
        <is>
          <t>1.8</t>
        </is>
      </c>
    </row>
    <row r="350">
      <c r="A350" s="4" t="inlineStr">
        <is>
          <t>Grizzly XL YO</t>
        </is>
      </c>
      <c r="B350" s="4" t="inlineStr">
        <is>
          <t>Master Model G25 Grizzly XL Relapse_TwoAge_B11</t>
        </is>
      </c>
      <c r="C350" s="4" t="inlineStr">
        <is>
          <t>JAGS_Male_2000</t>
        </is>
      </c>
      <c r="D350" s="5" t="n">
        <v>0.1</v>
      </c>
      <c r="E350" s="4" t="inlineStr">
        <is>
          <t>Variable</t>
        </is>
      </c>
      <c r="F350" s="4" t="inlineStr">
        <is>
          <t>Smoking initiation and cessation variable</t>
        </is>
      </c>
      <c r="G350" s="4" t="inlineStr">
        <is>
          <t>68 - 72</t>
        </is>
      </c>
      <c r="H350" s="4" t="inlineStr">
        <is>
          <t>ALL.T</t>
        </is>
      </c>
      <c r="I350" s="6" t="n">
        <v>678766.774535</v>
      </c>
      <c r="J350" s="7" t="n">
        <v>0.01</v>
      </c>
      <c r="K350" s="7" t="n">
        <v>0.009999999776482582</v>
      </c>
      <c r="L350" s="4" t="inlineStr">
        <is>
          <t>N/A</t>
        </is>
      </c>
      <c r="M350" s="4" t="inlineStr">
        <is>
          <t>N/A</t>
        </is>
      </c>
      <c r="N350" s="4" t="inlineStr">
        <is>
          <t>N/A</t>
        </is>
      </c>
      <c r="O350" s="4" t="inlineStr">
        <is>
          <t>N/A</t>
        </is>
      </c>
      <c r="P350" s="4" t="inlineStr">
        <is>
          <t>N/A</t>
        </is>
      </c>
      <c r="Q350" s="4" t="inlineStr">
        <is>
          <t>N/A</t>
        </is>
      </c>
      <c r="R350" s="8" t="n">
        <v>46254.79322952546</v>
      </c>
      <c r="S350" s="4" t="inlineStr">
        <is>
          <t>3.0.0</t>
        </is>
      </c>
      <c r="T350" s="4" t="inlineStr">
        <is>
          <t>1.8</t>
        </is>
      </c>
    </row>
    <row r="351">
      <c r="A351" s="4" t="inlineStr">
        <is>
          <t>Grizzly XL YO</t>
        </is>
      </c>
      <c r="B351" s="4" t="inlineStr">
        <is>
          <t>Master Model G25 Grizzly XL Relapse_TwoAge_B11</t>
        </is>
      </c>
      <c r="C351" s="4" t="inlineStr">
        <is>
          <t>JAGS_Female_2000</t>
        </is>
      </c>
      <c r="D351" s="5" t="n">
        <v>0.05</v>
      </c>
      <c r="E351" s="4" t="inlineStr">
        <is>
          <t>Variable</t>
        </is>
      </c>
      <c r="F351" s="4" t="inlineStr">
        <is>
          <t>Smoking initiation and cessation variable</t>
        </is>
      </c>
      <c r="G351" s="4" t="inlineStr">
        <is>
          <t>68 - 72</t>
        </is>
      </c>
      <c r="H351" s="4" t="inlineStr">
        <is>
          <t>DIFF_ALL</t>
        </is>
      </c>
      <c r="I351" s="6" t="n">
        <v>2.178981</v>
      </c>
      <c r="J351" s="7" t="n">
        <v>0.01</v>
      </c>
      <c r="K351" s="7" t="n">
        <v>0.009999999776482582</v>
      </c>
      <c r="L351" s="4" t="inlineStr">
        <is>
          <t>N/A</t>
        </is>
      </c>
      <c r="M351" s="4" t="inlineStr">
        <is>
          <t>N/A</t>
        </is>
      </c>
      <c r="N351" s="4" t="inlineStr">
        <is>
          <t>N/A</t>
        </is>
      </c>
      <c r="O351" s="4" t="inlineStr">
        <is>
          <t>N/A</t>
        </is>
      </c>
      <c r="P351" s="4" t="inlineStr">
        <is>
          <t>N/A</t>
        </is>
      </c>
      <c r="Q351" s="4" t="inlineStr">
        <is>
          <t>N/A</t>
        </is>
      </c>
      <c r="R351" s="8" t="n">
        <v>46254.79322996527</v>
      </c>
      <c r="S351" s="4" t="inlineStr">
        <is>
          <t>3.0.0</t>
        </is>
      </c>
      <c r="T351" s="4" t="inlineStr">
        <is>
          <t>1.8</t>
        </is>
      </c>
    </row>
    <row r="352">
      <c r="A352" s="4" t="inlineStr">
        <is>
          <t>Grizzly XL YO</t>
        </is>
      </c>
      <c r="B352" s="4" t="inlineStr">
        <is>
          <t>Master Model G25 Grizzly XL Relapse_TwoAge_B11</t>
        </is>
      </c>
      <c r="C352" s="4" t="inlineStr">
        <is>
          <t>JAGS_Female_2000</t>
        </is>
      </c>
      <c r="D352" s="5" t="n">
        <v>0.05</v>
      </c>
      <c r="E352" s="4" t="inlineStr">
        <is>
          <t>Variable</t>
        </is>
      </c>
      <c r="F352" s="4" t="inlineStr">
        <is>
          <t>Smoking initiation and cessation variable</t>
        </is>
      </c>
      <c r="G352" s="4" t="inlineStr">
        <is>
          <t>68 - 72</t>
        </is>
      </c>
      <c r="H352" s="4" t="inlineStr">
        <is>
          <t>ALL.T</t>
        </is>
      </c>
      <c r="I352" s="6" t="n">
        <v>784962.685371</v>
      </c>
      <c r="J352" s="7" t="n">
        <v>0.01</v>
      </c>
      <c r="K352" s="7" t="n">
        <v>0.009999999776482582</v>
      </c>
      <c r="L352" s="4" t="inlineStr">
        <is>
          <t>N/A</t>
        </is>
      </c>
      <c r="M352" s="4" t="inlineStr">
        <is>
          <t>N/A</t>
        </is>
      </c>
      <c r="N352" s="4" t="inlineStr">
        <is>
          <t>N/A</t>
        </is>
      </c>
      <c r="O352" s="4" t="inlineStr">
        <is>
          <t>N/A</t>
        </is>
      </c>
      <c r="P352" s="4" t="inlineStr">
        <is>
          <t>N/A</t>
        </is>
      </c>
      <c r="Q352" s="4" t="inlineStr">
        <is>
          <t>N/A</t>
        </is>
      </c>
      <c r="R352" s="8" t="n">
        <v>46254.79322996527</v>
      </c>
      <c r="S352" s="4" t="inlineStr">
        <is>
          <t>3.0.0</t>
        </is>
      </c>
      <c r="T352" s="4" t="inlineStr">
        <is>
          <t>1.8</t>
        </is>
      </c>
    </row>
    <row r="353">
      <c r="A353" s="4" t="inlineStr">
        <is>
          <t>Grizzly XL YO</t>
        </is>
      </c>
      <c r="B353" s="4" t="inlineStr">
        <is>
          <t>Master Model G25 Grizzly XL Relapse_TwoAge_B11</t>
        </is>
      </c>
      <c r="C353" s="4" t="inlineStr">
        <is>
          <t>JAGS_Female_2000</t>
        </is>
      </c>
      <c r="D353" s="5" t="n">
        <v>0.1</v>
      </c>
      <c r="E353" s="4" t="inlineStr">
        <is>
          <t>Variable</t>
        </is>
      </c>
      <c r="F353" s="4" t="inlineStr">
        <is>
          <t>Smoking initiation and cessation variable</t>
        </is>
      </c>
      <c r="G353" s="4" t="inlineStr">
        <is>
          <t>68 - 72</t>
        </is>
      </c>
      <c r="H353" s="4" t="inlineStr">
        <is>
          <t>DIFF_ALL</t>
        </is>
      </c>
      <c r="I353" s="6" t="n">
        <v>2.02489</v>
      </c>
      <c r="J353" s="7" t="n">
        <v>0.01</v>
      </c>
      <c r="K353" s="7" t="n">
        <v>0.009999999776482582</v>
      </c>
      <c r="L353" s="4" t="inlineStr">
        <is>
          <t>N/A</t>
        </is>
      </c>
      <c r="M353" s="4" t="inlineStr">
        <is>
          <t>N/A</t>
        </is>
      </c>
      <c r="N353" s="4" t="inlineStr">
        <is>
          <t>N/A</t>
        </is>
      </c>
      <c r="O353" s="4" t="inlineStr">
        <is>
          <t>N/A</t>
        </is>
      </c>
      <c r="P353" s="4" t="inlineStr">
        <is>
          <t>N/A</t>
        </is>
      </c>
      <c r="Q353" s="4" t="inlineStr">
        <is>
          <t>N/A</t>
        </is>
      </c>
      <c r="R353" s="8" t="n">
        <v>46254.79323039352</v>
      </c>
      <c r="S353" s="4" t="inlineStr">
        <is>
          <t>3.0.0</t>
        </is>
      </c>
      <c r="T353" s="4" t="inlineStr">
        <is>
          <t>1.8</t>
        </is>
      </c>
    </row>
    <row r="354">
      <c r="A354" s="4" t="inlineStr">
        <is>
          <t>Grizzly XL YO</t>
        </is>
      </c>
      <c r="B354" s="4" t="inlineStr">
        <is>
          <t>Master Model G25 Grizzly XL Relapse_TwoAge_B11</t>
        </is>
      </c>
      <c r="C354" s="4" t="inlineStr">
        <is>
          <t>JAGS_Female_2000</t>
        </is>
      </c>
      <c r="D354" s="5" t="n">
        <v>0.1</v>
      </c>
      <c r="E354" s="4" t="inlineStr">
        <is>
          <t>Variable</t>
        </is>
      </c>
      <c r="F354" s="4" t="inlineStr">
        <is>
          <t>Smoking initiation and cessation variable</t>
        </is>
      </c>
      <c r="G354" s="4" t="inlineStr">
        <is>
          <t>68 - 72</t>
        </is>
      </c>
      <c r="H354" s="4" t="inlineStr">
        <is>
          <t>ALL.T</t>
        </is>
      </c>
      <c r="I354" s="6" t="n">
        <v>784962.531281</v>
      </c>
      <c r="J354" s="7" t="n">
        <v>0.01</v>
      </c>
      <c r="K354" s="7" t="n">
        <v>0.009999999776482582</v>
      </c>
      <c r="L354" s="4" t="inlineStr">
        <is>
          <t>N/A</t>
        </is>
      </c>
      <c r="M354" s="4" t="inlineStr">
        <is>
          <t>N/A</t>
        </is>
      </c>
      <c r="N354" s="4" t="inlineStr">
        <is>
          <t>N/A</t>
        </is>
      </c>
      <c r="O354" s="4" t="inlineStr">
        <is>
          <t>N/A</t>
        </is>
      </c>
      <c r="P354" s="4" t="inlineStr">
        <is>
          <t>N/A</t>
        </is>
      </c>
      <c r="Q354" s="4" t="inlineStr">
        <is>
          <t>N/A</t>
        </is>
      </c>
      <c r="R354" s="8" t="n">
        <v>46254.79323039352</v>
      </c>
      <c r="S354" s="4" t="inlineStr">
        <is>
          <t>3.0.0</t>
        </is>
      </c>
      <c r="T354" s="4" t="n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Y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7" customWidth="1" min="4" max="4"/>
    <col width="24" customWidth="1" min="5" max="5"/>
    <col width="8" customWidth="1" min="6" max="6"/>
    <col width="47" customWidth="1" min="7" max="7"/>
    <col width="14" customWidth="1" min="8" max="8"/>
    <col width="3" customWidth="1" min="9" max="9"/>
    <col width="13" customWidth="1" min="10" max="10"/>
    <col width="15" customWidth="1" min="11" max="11"/>
    <col width="17" customWidth="1" min="12" max="12"/>
    <col width="24" customWidth="1" min="13" max="13"/>
    <col width="8" customWidth="1" min="14" max="14"/>
    <col width="50" customWidth="1" min="15" max="15"/>
    <col width="14" customWidth="1" min="16" max="16"/>
    <col width="14" customWidth="1" min="17" max="17"/>
    <col width="3" customWidth="1" min="18" max="18"/>
    <col width="22" customWidth="1" min="19" max="19"/>
    <col width="22" customWidth="1" min="20" max="20"/>
    <col width="3" customWidth="1" min="21" max="21"/>
    <col width="11" customWidth="1" min="22" max="22"/>
    <col width="13" customWidth="1" min="23" max="23"/>
    <col width="13" customWidth="1" min="24" max="24"/>
    <col width="17" customWidth="1" min="25" max="25"/>
  </cols>
  <sheetData>
    <row r="2">
      <c r="G2" s="37" t="inlineStr">
        <is>
          <t>Relapse ALL.T</t>
        </is>
      </c>
      <c r="O2" s="37" t="inlineStr">
        <is>
          <t>Master Model ALL.T and DIFF_ALL</t>
        </is>
      </c>
      <c r="P2" t="inlineStr">
        <is>
          <t>CF1</t>
        </is>
      </c>
      <c r="Q2" t="inlineStr">
        <is>
          <t>CF1-BC1</t>
        </is>
      </c>
      <c r="V2" t="inlineStr">
        <is>
          <t>Check if rows match between Relapse and Master Pivot Tables</t>
        </is>
      </c>
    </row>
    <row r="3">
      <c r="E3" t="inlineStr">
        <is>
          <t>Max of Mean</t>
        </is>
      </c>
      <c r="H3" t="inlineStr">
        <is>
          <t>Node</t>
        </is>
      </c>
      <c r="M3" s="38" t="inlineStr">
        <is>
          <t>Max of Mean</t>
        </is>
      </c>
      <c r="N3" s="38" t="n"/>
      <c r="O3" s="38" t="n"/>
      <c r="P3" s="38" t="inlineStr">
        <is>
          <t>Node</t>
        </is>
      </c>
      <c r="Q3" s="38" t="n"/>
      <c r="S3" t="inlineStr">
        <is>
          <t>(CF1-CF2)</t>
        </is>
      </c>
      <c r="T3" t="inlineStr">
        <is>
          <t>CF1-BC1-CF1+CF2</t>
        </is>
      </c>
    </row>
    <row r="4">
      <c r="A4" s="39" t="inlineStr">
        <is>
          <t>Relapse Key</t>
        </is>
      </c>
      <c r="B4" s="39" t="inlineStr">
        <is>
          <t>Gateway</t>
        </is>
      </c>
      <c r="C4" s="39" t="inlineStr">
        <is>
          <t>Stacked Type</t>
        </is>
      </c>
      <c r="D4" s="39" t="inlineStr">
        <is>
          <t>Birth Cohort</t>
        </is>
      </c>
      <c r="E4" s="39" t="inlineStr">
        <is>
          <t>Mortality Model</t>
        </is>
      </c>
      <c r="F4" s="39" t="inlineStr">
        <is>
          <t>ERR</t>
        </is>
      </c>
      <c r="G4" s="39" t="inlineStr">
        <is>
          <t>Model Name</t>
        </is>
      </c>
      <c r="H4" t="inlineStr">
        <is>
          <t>ALL.T</t>
        </is>
      </c>
      <c r="J4" s="39" t="inlineStr">
        <is>
          <t>Gateway</t>
        </is>
      </c>
      <c r="K4" s="39" t="inlineStr">
        <is>
          <t>Stacked Type</t>
        </is>
      </c>
      <c r="L4" s="39" t="inlineStr">
        <is>
          <t>Birth Cohort</t>
        </is>
      </c>
      <c r="M4" s="39" t="inlineStr">
        <is>
          <t>Mortality Model</t>
        </is>
      </c>
      <c r="N4" s="39" t="inlineStr">
        <is>
          <t>ERR</t>
        </is>
      </c>
      <c r="O4" s="39" t="inlineStr">
        <is>
          <t>Model Name</t>
        </is>
      </c>
      <c r="P4" s="39" t="inlineStr">
        <is>
          <t>ALL.T</t>
        </is>
      </c>
      <c r="Q4" s="39" t="inlineStr">
        <is>
          <t>DIFF_ALL</t>
        </is>
      </c>
      <c r="S4" t="inlineStr">
        <is>
          <t>Difference, survivors no relapse vs. survivors 50% relapse</t>
        </is>
      </c>
      <c r="T4" s="40" t="inlineStr">
        <is>
          <t>Adjusted results, DIFF_ALL</t>
        </is>
      </c>
      <c r="V4" t="inlineStr">
        <is>
          <t>Gateway</t>
        </is>
      </c>
      <c r="W4" t="inlineStr">
        <is>
          <t>StackedType</t>
        </is>
      </c>
      <c r="X4" t="inlineStr">
        <is>
          <t>Birth Cohort</t>
        </is>
      </c>
      <c r="Y4" t="inlineStr">
        <is>
          <t>Mortality Model</t>
        </is>
      </c>
    </row>
    <row r="5">
      <c r="A5">
        <f>G5&amp;F5&amp;E5</f>
        <v/>
      </c>
      <c r="B5">
        <f>IF(ISNUMBER(SEARCH("G10",G5)),"G10","G25")</f>
        <v/>
      </c>
      <c r="C5">
        <f>IF(ISNUMBER(SEARCH("AllAge",G5)),"AllAge","TwoAge")</f>
        <v/>
      </c>
      <c r="D5">
        <f>RIGHT(G5,3)</f>
        <v/>
      </c>
      <c r="E5" t="inlineStr">
        <is>
          <t>JAGS_Female_2000</t>
        </is>
      </c>
      <c r="F5" t="n">
        <v>0.05</v>
      </c>
      <c r="G5" t="inlineStr">
        <is>
          <t>Master Model G10 Grizzly XL Relapse_TwoAge_B01</t>
        </is>
      </c>
      <c r="H5" s="10" t="n">
        <v>787091</v>
      </c>
      <c r="J5">
        <f>IF(ISNUMBER(SEARCH("G10",O5)),"G10","G25")</f>
        <v/>
      </c>
      <c r="K5">
        <f>IF(ISNUMBER(SEARCH("AllAge",O5)),"AllAge","TwoAge")</f>
        <v/>
      </c>
      <c r="L5">
        <f>RIGHT(O5,3)</f>
        <v/>
      </c>
      <c r="M5" t="inlineStr">
        <is>
          <t>JAGS_Female_2000</t>
        </is>
      </c>
      <c r="N5" t="n">
        <v>0.05</v>
      </c>
      <c r="O5" t="inlineStr">
        <is>
          <t>Master Model G10 Grizzly XL_TwoAge_5a_6a_14b_15a_B01</t>
        </is>
      </c>
      <c r="P5" s="10" t="n">
        <v>787255</v>
      </c>
      <c r="Q5" s="10" t="n">
        <v>2294</v>
      </c>
      <c r="S5" s="10">
        <f>ROUND(P5-H5,0)</f>
        <v/>
      </c>
      <c r="T5" s="10">
        <f>ROUND(Q5-S5,0)</f>
        <v/>
      </c>
      <c r="V5">
        <f>EXACT(B5,J5)</f>
        <v/>
      </c>
      <c r="W5">
        <f>EXACT(C5,K5)</f>
        <v/>
      </c>
      <c r="X5">
        <f>EXACT(D5,L5)</f>
        <v/>
      </c>
      <c r="Y5">
        <f>EXACT(E5,M5)</f>
        <v/>
      </c>
    </row>
    <row r="6">
      <c r="A6">
        <f>G6&amp;F6&amp;E6</f>
        <v/>
      </c>
      <c r="B6">
        <f>IF(ISNUMBER(SEARCH("G10",G6)),"G10","G25")</f>
        <v/>
      </c>
      <c r="C6">
        <f>IF(ISNUMBER(SEARCH("AllAge",G6)),"AllAge","TwoAge")</f>
        <v/>
      </c>
      <c r="D6">
        <f>RIGHT(G6,3)</f>
        <v/>
      </c>
      <c r="E6" t="inlineStr">
        <is>
          <t>JAGS_Female_2000</t>
        </is>
      </c>
      <c r="F6" t="n">
        <v>0.05</v>
      </c>
      <c r="G6" t="inlineStr">
        <is>
          <t>Master Model G10 Grizzly XL Relapse_TwoAge_B02</t>
        </is>
      </c>
      <c r="H6" s="10" t="n">
        <v>786804</v>
      </c>
      <c r="J6">
        <f>IF(ISNUMBER(SEARCH("G10",O6)),"G10","G25")</f>
        <v/>
      </c>
      <c r="K6">
        <f>IF(ISNUMBER(SEARCH("AllAge",O6)),"AllAge","TwoAge")</f>
        <v/>
      </c>
      <c r="L6">
        <f>RIGHT(O6,3)</f>
        <v/>
      </c>
      <c r="M6" t="inlineStr">
        <is>
          <t>JAGS_Female_2000</t>
        </is>
      </c>
      <c r="N6" t="n">
        <v>0.05</v>
      </c>
      <c r="O6" t="inlineStr">
        <is>
          <t>Master Model G10 Grizzly XL_TwoAge_5a_6a_14b_15a_B02</t>
        </is>
      </c>
      <c r="P6" s="10" t="n">
        <v>786973</v>
      </c>
      <c r="Q6" s="10" t="n">
        <v>2012</v>
      </c>
      <c r="S6" s="10">
        <f>ROUND(P6-H6,0)</f>
        <v/>
      </c>
      <c r="T6" s="10">
        <f>ROUND(Q6-S6,0)</f>
        <v/>
      </c>
      <c r="V6">
        <f>EXACT(B6,J6)</f>
        <v/>
      </c>
      <c r="W6">
        <f>EXACT(C6,K6)</f>
        <v/>
      </c>
      <c r="X6">
        <f>EXACT(D6,L6)</f>
        <v/>
      </c>
      <c r="Y6">
        <f>EXACT(E6,M6)</f>
        <v/>
      </c>
    </row>
    <row r="7">
      <c r="A7">
        <f>G7&amp;F7&amp;E7</f>
        <v/>
      </c>
      <c r="B7">
        <f>IF(ISNUMBER(SEARCH("G10",G7)),"G10","G25")</f>
        <v/>
      </c>
      <c r="C7">
        <f>IF(ISNUMBER(SEARCH("AllAge",G7)),"AllAge","TwoAge")</f>
        <v/>
      </c>
      <c r="D7">
        <f>RIGHT(G7,3)</f>
        <v/>
      </c>
      <c r="E7" t="inlineStr">
        <is>
          <t>JAGS_Female_2000</t>
        </is>
      </c>
      <c r="F7" t="n">
        <v>0.05</v>
      </c>
      <c r="G7" t="inlineStr">
        <is>
          <t>Master Model G10 Grizzly XL Relapse_TwoAge_B03</t>
        </is>
      </c>
      <c r="H7" s="10" t="n">
        <v>786062</v>
      </c>
      <c r="J7">
        <f>IF(ISNUMBER(SEARCH("G10",O7)),"G10","G25")</f>
        <v/>
      </c>
      <c r="K7">
        <f>IF(ISNUMBER(SEARCH("AllAge",O7)),"AllAge","TwoAge")</f>
        <v/>
      </c>
      <c r="L7">
        <f>RIGHT(O7,3)</f>
        <v/>
      </c>
      <c r="M7" t="inlineStr">
        <is>
          <t>JAGS_Female_2000</t>
        </is>
      </c>
      <c r="N7" t="n">
        <v>0.05</v>
      </c>
      <c r="O7" t="inlineStr">
        <is>
          <t>Master Model G10 Grizzly XL_TwoAge_5a_6a_14b_15a_B03</t>
        </is>
      </c>
      <c r="P7" s="10" t="n">
        <v>786241</v>
      </c>
      <c r="Q7" s="10" t="n">
        <v>1279</v>
      </c>
      <c r="S7" s="10">
        <f>ROUND(P7-H7,0)</f>
        <v/>
      </c>
      <c r="T7" s="10">
        <f>ROUND(Q7-S7,0)</f>
        <v/>
      </c>
      <c r="V7">
        <f>EXACT(B7,J7)</f>
        <v/>
      </c>
      <c r="W7">
        <f>EXACT(C7,K7)</f>
        <v/>
      </c>
      <c r="X7">
        <f>EXACT(D7,L7)</f>
        <v/>
      </c>
      <c r="Y7">
        <f>EXACT(E7,M7)</f>
        <v/>
      </c>
    </row>
    <row r="8">
      <c r="A8">
        <f>G8&amp;F8&amp;E8</f>
        <v/>
      </c>
      <c r="B8">
        <f>IF(ISNUMBER(SEARCH("G10",G8)),"G10","G25")</f>
        <v/>
      </c>
      <c r="C8">
        <f>IF(ISNUMBER(SEARCH("AllAge",G8)),"AllAge","TwoAge")</f>
        <v/>
      </c>
      <c r="D8">
        <f>RIGHT(G8,3)</f>
        <v/>
      </c>
      <c r="E8" t="inlineStr">
        <is>
          <t>JAGS_Female_2000</t>
        </is>
      </c>
      <c r="F8" t="n">
        <v>0.05</v>
      </c>
      <c r="G8" t="inlineStr">
        <is>
          <t>Master Model G10 Grizzly XL Relapse_TwoAge_B04</t>
        </is>
      </c>
      <c r="H8" s="10" t="n">
        <v>785657</v>
      </c>
      <c r="J8">
        <f>IF(ISNUMBER(SEARCH("G10",O8)),"G10","G25")</f>
        <v/>
      </c>
      <c r="K8">
        <f>IF(ISNUMBER(SEARCH("AllAge",O8)),"AllAge","TwoAge")</f>
        <v/>
      </c>
      <c r="L8">
        <f>RIGHT(O8,3)</f>
        <v/>
      </c>
      <c r="M8" t="inlineStr">
        <is>
          <t>JAGS_Female_2000</t>
        </is>
      </c>
      <c r="N8" t="n">
        <v>0.05</v>
      </c>
      <c r="O8" t="inlineStr">
        <is>
          <t>Master Model G10 Grizzly XL_TwoAge_5a_6a_14b_15a_B04</t>
        </is>
      </c>
      <c r="P8" s="10" t="n">
        <v>785814</v>
      </c>
      <c r="Q8" s="10" t="n">
        <v>853</v>
      </c>
      <c r="S8" s="10">
        <f>ROUND(P8-H8,0)</f>
        <v/>
      </c>
      <c r="T8" s="10">
        <f>ROUND(Q8-S8,0)</f>
        <v/>
      </c>
      <c r="V8">
        <f>EXACT(B8,J8)</f>
        <v/>
      </c>
      <c r="W8">
        <f>EXACT(C8,K8)</f>
        <v/>
      </c>
      <c r="X8">
        <f>EXACT(D8,L8)</f>
        <v/>
      </c>
      <c r="Y8">
        <f>EXACT(E8,M8)</f>
        <v/>
      </c>
    </row>
    <row r="9">
      <c r="A9">
        <f>G9&amp;F9&amp;E9</f>
        <v/>
      </c>
      <c r="B9">
        <f>IF(ISNUMBER(SEARCH("G10",G9)),"G10","G25")</f>
        <v/>
      </c>
      <c r="C9">
        <f>IF(ISNUMBER(SEARCH("AllAge",G9)),"AllAge","TwoAge")</f>
        <v/>
      </c>
      <c r="D9">
        <f>RIGHT(G9,3)</f>
        <v/>
      </c>
      <c r="E9" t="inlineStr">
        <is>
          <t>JAGS_Female_2000</t>
        </is>
      </c>
      <c r="F9" t="n">
        <v>0.05</v>
      </c>
      <c r="G9" t="inlineStr">
        <is>
          <t>Master Model G10 Grizzly XL Relapse_TwoAge_B05</t>
        </is>
      </c>
      <c r="H9" s="10" t="n">
        <v>785456</v>
      </c>
      <c r="J9">
        <f>IF(ISNUMBER(SEARCH("G10",O9)),"G10","G25")</f>
        <v/>
      </c>
      <c r="K9">
        <f>IF(ISNUMBER(SEARCH("AllAge",O9)),"AllAge","TwoAge")</f>
        <v/>
      </c>
      <c r="L9">
        <f>RIGHT(O9,3)</f>
        <v/>
      </c>
      <c r="M9" t="inlineStr">
        <is>
          <t>JAGS_Female_2000</t>
        </is>
      </c>
      <c r="N9" t="n">
        <v>0.05</v>
      </c>
      <c r="O9" t="inlineStr">
        <is>
          <t>Master Model G10 Grizzly XL_TwoAge_5a_6a_14b_15a_B05</t>
        </is>
      </c>
      <c r="P9" s="10" t="n">
        <v>785557</v>
      </c>
      <c r="Q9" s="10" t="n">
        <v>596</v>
      </c>
      <c r="S9" s="10">
        <f>ROUND(P9-H9,0)</f>
        <v/>
      </c>
      <c r="T9" s="10">
        <f>ROUND(Q9-S9,0)</f>
        <v/>
      </c>
      <c r="V9">
        <f>EXACT(B9,J9)</f>
        <v/>
      </c>
      <c r="W9">
        <f>EXACT(C9,K9)</f>
        <v/>
      </c>
      <c r="X9">
        <f>EXACT(D9,L9)</f>
        <v/>
      </c>
      <c r="Y9">
        <f>EXACT(E9,M9)</f>
        <v/>
      </c>
    </row>
    <row r="10">
      <c r="A10">
        <f>G10&amp;F10&amp;E10</f>
        <v/>
      </c>
      <c r="B10">
        <f>IF(ISNUMBER(SEARCH("G10",G10)),"G10","G25")</f>
        <v/>
      </c>
      <c r="C10">
        <f>IF(ISNUMBER(SEARCH("AllAge",G10)),"AllAge","TwoAge")</f>
        <v/>
      </c>
      <c r="D10">
        <f>RIGHT(G10,3)</f>
        <v/>
      </c>
      <c r="E10" t="inlineStr">
        <is>
          <t>JAGS_Female_2000</t>
        </is>
      </c>
      <c r="F10" t="n">
        <v>0.05</v>
      </c>
      <c r="G10" t="inlineStr">
        <is>
          <t>Master Model G10 Grizzly XL Relapse_TwoAge_B06</t>
        </is>
      </c>
      <c r="H10" s="10" t="n">
        <v>785295</v>
      </c>
      <c r="J10">
        <f>IF(ISNUMBER(SEARCH("G10",O10)),"G10","G25")</f>
        <v/>
      </c>
      <c r="K10">
        <f>IF(ISNUMBER(SEARCH("AllAge",O10)),"AllAge","TwoAge")</f>
        <v/>
      </c>
      <c r="L10">
        <f>RIGHT(O10,3)</f>
        <v/>
      </c>
      <c r="M10" t="inlineStr">
        <is>
          <t>JAGS_Female_2000</t>
        </is>
      </c>
      <c r="N10" t="n">
        <v>0.05</v>
      </c>
      <c r="O10" t="inlineStr">
        <is>
          <t>Master Model G10 Grizzly XL_TwoAge_5a_6a_14b_15a_B06</t>
        </is>
      </c>
      <c r="P10" s="10" t="n">
        <v>785373</v>
      </c>
      <c r="Q10" s="10" t="n">
        <v>412</v>
      </c>
      <c r="S10" s="10">
        <f>ROUND(P10-H10,0)</f>
        <v/>
      </c>
      <c r="T10" s="10">
        <f>ROUND(Q10-S10,0)</f>
        <v/>
      </c>
      <c r="V10">
        <f>EXACT(B10,J10)</f>
        <v/>
      </c>
      <c r="W10">
        <f>EXACT(C10,K10)</f>
        <v/>
      </c>
      <c r="X10">
        <f>EXACT(D10,L10)</f>
        <v/>
      </c>
      <c r="Y10">
        <f>EXACT(E10,M10)</f>
        <v/>
      </c>
    </row>
    <row r="11">
      <c r="A11">
        <f>G11&amp;F11&amp;E11</f>
        <v/>
      </c>
      <c r="B11">
        <f>IF(ISNUMBER(SEARCH("G10",G11)),"G10","G25")</f>
        <v/>
      </c>
      <c r="C11">
        <f>IF(ISNUMBER(SEARCH("AllAge",G11)),"AllAge","TwoAge")</f>
        <v/>
      </c>
      <c r="D11">
        <f>RIGHT(G11,3)</f>
        <v/>
      </c>
      <c r="E11" t="inlineStr">
        <is>
          <t>JAGS_Female_2000</t>
        </is>
      </c>
      <c r="F11" t="n">
        <v>0.05</v>
      </c>
      <c r="G11" t="inlineStr">
        <is>
          <t>Master Model G10 Grizzly XL Relapse_TwoAge_B07</t>
        </is>
      </c>
      <c r="H11" s="10" t="n">
        <v>785131</v>
      </c>
      <c r="J11">
        <f>IF(ISNUMBER(SEARCH("G10",O11)),"G10","G25")</f>
        <v/>
      </c>
      <c r="K11">
        <f>IF(ISNUMBER(SEARCH("AllAge",O11)),"AllAge","TwoAge")</f>
        <v/>
      </c>
      <c r="L11">
        <f>RIGHT(O11,3)</f>
        <v/>
      </c>
      <c r="M11" t="inlineStr">
        <is>
          <t>JAGS_Female_2000</t>
        </is>
      </c>
      <c r="N11" t="n">
        <v>0.05</v>
      </c>
      <c r="O11" t="inlineStr">
        <is>
          <t>Master Model G10 Grizzly XL_TwoAge_5a_6a_14b_15a_B07</t>
        </is>
      </c>
      <c r="P11" s="10" t="n">
        <v>785172</v>
      </c>
      <c r="Q11" s="10" t="n">
        <v>211</v>
      </c>
      <c r="S11" s="10">
        <f>ROUND(P11-H11,0)</f>
        <v/>
      </c>
      <c r="T11" s="10">
        <f>ROUND(Q11-S11,0)</f>
        <v/>
      </c>
      <c r="V11">
        <f>EXACT(B11,J11)</f>
        <v/>
      </c>
      <c r="W11">
        <f>EXACT(C11,K11)</f>
        <v/>
      </c>
      <c r="X11">
        <f>EXACT(D11,L11)</f>
        <v/>
      </c>
      <c r="Y11">
        <f>EXACT(E11,M11)</f>
        <v/>
      </c>
    </row>
    <row r="12">
      <c r="A12">
        <f>G12&amp;F12&amp;E12</f>
        <v/>
      </c>
      <c r="B12">
        <f>IF(ISNUMBER(SEARCH("G10",G12)),"G10","G25")</f>
        <v/>
      </c>
      <c r="C12">
        <f>IF(ISNUMBER(SEARCH("AllAge",G12)),"AllAge","TwoAge")</f>
        <v/>
      </c>
      <c r="D12">
        <f>RIGHT(G12,3)</f>
        <v/>
      </c>
      <c r="E12" t="inlineStr">
        <is>
          <t>JAGS_Female_2000</t>
        </is>
      </c>
      <c r="F12" t="n">
        <v>0.05</v>
      </c>
      <c r="G12" t="inlineStr">
        <is>
          <t>Master Model G10 Grizzly XL Relapse_TwoAge_B08</t>
        </is>
      </c>
      <c r="H12" s="10" t="n">
        <v>785022</v>
      </c>
      <c r="J12">
        <f>IF(ISNUMBER(SEARCH("G10",O12)),"G10","G25")</f>
        <v/>
      </c>
      <c r="K12">
        <f>IF(ISNUMBER(SEARCH("AllAge",O12)),"AllAge","TwoAge")</f>
        <v/>
      </c>
      <c r="L12">
        <f>RIGHT(O12,3)</f>
        <v/>
      </c>
      <c r="M12" t="inlineStr">
        <is>
          <t>JAGS_Female_2000</t>
        </is>
      </c>
      <c r="N12" t="n">
        <v>0.05</v>
      </c>
      <c r="O12" t="inlineStr">
        <is>
          <t>Master Model G10 Grizzly XL_TwoAge_5a_6a_14b_15a_B08</t>
        </is>
      </c>
      <c r="P12" s="10" t="n">
        <v>785033</v>
      </c>
      <c r="Q12" s="10" t="n">
        <v>72</v>
      </c>
      <c r="S12" s="10">
        <f>ROUND(P12-H12,0)</f>
        <v/>
      </c>
      <c r="T12" s="10">
        <f>ROUND(Q12-S12,0)</f>
        <v/>
      </c>
      <c r="V12">
        <f>EXACT(B12,J12)</f>
        <v/>
      </c>
      <c r="W12">
        <f>EXACT(C12,K12)</f>
        <v/>
      </c>
      <c r="X12">
        <f>EXACT(D12,L12)</f>
        <v/>
      </c>
      <c r="Y12">
        <f>EXACT(E12,M12)</f>
        <v/>
      </c>
    </row>
    <row r="13">
      <c r="A13">
        <f>G13&amp;F13&amp;E13</f>
        <v/>
      </c>
      <c r="B13">
        <f>IF(ISNUMBER(SEARCH("G10",G13)),"G10","G25")</f>
        <v/>
      </c>
      <c r="C13">
        <f>IF(ISNUMBER(SEARCH("AllAge",G13)),"AllAge","TwoAge")</f>
        <v/>
      </c>
      <c r="D13">
        <f>RIGHT(G13,3)</f>
        <v/>
      </c>
      <c r="E13" t="inlineStr">
        <is>
          <t>JAGS_Female_2000</t>
        </is>
      </c>
      <c r="F13" t="n">
        <v>0.05</v>
      </c>
      <c r="G13" t="inlineStr">
        <is>
          <t>Master Model G10 Grizzly XL Relapse_TwoAge_B09</t>
        </is>
      </c>
      <c r="H13" s="10" t="n">
        <v>784976</v>
      </c>
      <c r="J13">
        <f>IF(ISNUMBER(SEARCH("G10",O13)),"G10","G25")</f>
        <v/>
      </c>
      <c r="K13">
        <f>IF(ISNUMBER(SEARCH("AllAge",O13)),"AllAge","TwoAge")</f>
        <v/>
      </c>
      <c r="L13">
        <f>RIGHT(O13,3)</f>
        <v/>
      </c>
      <c r="M13" t="inlineStr">
        <is>
          <t>JAGS_Female_2000</t>
        </is>
      </c>
      <c r="N13" t="n">
        <v>0.05</v>
      </c>
      <c r="O13" t="inlineStr">
        <is>
          <t>Master Model G10 Grizzly XL_TwoAge_5a_6a_14b_15a_B09</t>
        </is>
      </c>
      <c r="P13" s="10" t="n">
        <v>784982</v>
      </c>
      <c r="Q13" s="10" t="n">
        <v>21</v>
      </c>
      <c r="S13" s="10">
        <f>ROUND(P13-H13,0)</f>
        <v/>
      </c>
      <c r="T13" s="10">
        <f>ROUND(Q13-S13,0)</f>
        <v/>
      </c>
      <c r="V13">
        <f>EXACT(B13,J13)</f>
        <v/>
      </c>
      <c r="W13">
        <f>EXACT(C13,K13)</f>
        <v/>
      </c>
      <c r="X13">
        <f>EXACT(D13,L13)</f>
        <v/>
      </c>
      <c r="Y13">
        <f>EXACT(E13,M13)</f>
        <v/>
      </c>
    </row>
    <row r="14">
      <c r="A14">
        <f>G14&amp;F14&amp;E14</f>
        <v/>
      </c>
      <c r="B14">
        <f>IF(ISNUMBER(SEARCH("G10",G14)),"G10","G25")</f>
        <v/>
      </c>
      <c r="C14">
        <f>IF(ISNUMBER(SEARCH("AllAge",G14)),"AllAge","TwoAge")</f>
        <v/>
      </c>
      <c r="D14">
        <f>RIGHT(G14,3)</f>
        <v/>
      </c>
      <c r="E14" t="inlineStr">
        <is>
          <t>JAGS_Female_2000</t>
        </is>
      </c>
      <c r="F14" t="n">
        <v>0.05</v>
      </c>
      <c r="G14" t="inlineStr">
        <is>
          <t>Master Model G10 Grizzly XL Relapse_TwoAge_B10</t>
        </is>
      </c>
      <c r="H14" s="10" t="n">
        <v>784967</v>
      </c>
      <c r="J14">
        <f>IF(ISNUMBER(SEARCH("G10",O14)),"G10","G25")</f>
        <v/>
      </c>
      <c r="K14">
        <f>IF(ISNUMBER(SEARCH("AllAge",O14)),"AllAge","TwoAge")</f>
        <v/>
      </c>
      <c r="L14">
        <f>RIGHT(O14,3)</f>
        <v/>
      </c>
      <c r="M14" t="inlineStr">
        <is>
          <t>JAGS_Female_2000</t>
        </is>
      </c>
      <c r="N14" t="n">
        <v>0.05</v>
      </c>
      <c r="O14" t="inlineStr">
        <is>
          <t>Master Model G10 Grizzly XL_TwoAge_5a_6a_14b_15a_B10</t>
        </is>
      </c>
      <c r="P14" s="10" t="n">
        <v>784970</v>
      </c>
      <c r="Q14" s="10" t="n">
        <v>8</v>
      </c>
      <c r="S14" s="10">
        <f>ROUND(P14-H14,0)</f>
        <v/>
      </c>
      <c r="T14" s="10">
        <f>ROUND(Q14-S14,0)</f>
        <v/>
      </c>
      <c r="V14">
        <f>EXACT(B14,J14)</f>
        <v/>
      </c>
      <c r="W14">
        <f>EXACT(C14,K14)</f>
        <v/>
      </c>
      <c r="X14">
        <f>EXACT(D14,L14)</f>
        <v/>
      </c>
      <c r="Y14">
        <f>EXACT(E14,M14)</f>
        <v/>
      </c>
    </row>
    <row r="15">
      <c r="A15">
        <f>G15&amp;F15&amp;E15</f>
        <v/>
      </c>
      <c r="B15">
        <f>IF(ISNUMBER(SEARCH("G10",G15)),"G10","G25")</f>
        <v/>
      </c>
      <c r="C15">
        <f>IF(ISNUMBER(SEARCH("AllAge",G15)),"AllAge","TwoAge")</f>
        <v/>
      </c>
      <c r="D15">
        <f>RIGHT(G15,3)</f>
        <v/>
      </c>
      <c r="E15" t="inlineStr">
        <is>
          <t>JAGS_Female_2000</t>
        </is>
      </c>
      <c r="F15" t="n">
        <v>0.05</v>
      </c>
      <c r="G15" t="inlineStr">
        <is>
          <t>Master Model G10 Grizzly XL Relapse_TwoAge_B11</t>
        </is>
      </c>
      <c r="H15" s="10" t="n">
        <v>784963</v>
      </c>
      <c r="J15">
        <f>IF(ISNUMBER(SEARCH("G10",O15)),"G10","G25")</f>
        <v/>
      </c>
      <c r="K15">
        <f>IF(ISNUMBER(SEARCH("AllAge",O15)),"AllAge","TwoAge")</f>
        <v/>
      </c>
      <c r="L15">
        <f>RIGHT(O15,3)</f>
        <v/>
      </c>
      <c r="M15" t="inlineStr">
        <is>
          <t>JAGS_Female_2000</t>
        </is>
      </c>
      <c r="N15" t="n">
        <v>0.05</v>
      </c>
      <c r="O15" t="inlineStr">
        <is>
          <t>Master Model G10 Grizzly XL_TwoAge_5a_6a_14b_15a_B11</t>
        </is>
      </c>
      <c r="P15" s="10" t="n">
        <v>784963</v>
      </c>
      <c r="Q15" s="10" t="n">
        <v>2</v>
      </c>
      <c r="S15" s="10">
        <f>ROUND(P15-H15,0)</f>
        <v/>
      </c>
      <c r="T15" s="10">
        <f>ROUND(Q15-S15,0)</f>
        <v/>
      </c>
      <c r="V15">
        <f>EXACT(B15,J15)</f>
        <v/>
      </c>
      <c r="W15">
        <f>EXACT(C15,K15)</f>
        <v/>
      </c>
      <c r="X15">
        <f>EXACT(D15,L15)</f>
        <v/>
      </c>
      <c r="Y15">
        <f>EXACT(E15,M15)</f>
        <v/>
      </c>
    </row>
    <row r="16">
      <c r="A16">
        <f>G16&amp;F16&amp;E16</f>
        <v/>
      </c>
      <c r="B16">
        <f>IF(ISNUMBER(SEARCH("G10",G16)),"G10","G25")</f>
        <v/>
      </c>
      <c r="C16">
        <f>IF(ISNUMBER(SEARCH("AllAge",G16)),"AllAge","TwoAge")</f>
        <v/>
      </c>
      <c r="D16">
        <f>RIGHT(G16,3)</f>
        <v/>
      </c>
      <c r="E16" t="inlineStr">
        <is>
          <t>JAGS_Female_2000</t>
        </is>
      </c>
      <c r="F16" t="n">
        <v>0.05</v>
      </c>
      <c r="G16" t="inlineStr">
        <is>
          <t>Master Model G25 Grizzly XL Relapse_TwoAge_B01</t>
        </is>
      </c>
      <c r="H16" s="10" t="n">
        <v>786713</v>
      </c>
      <c r="J16">
        <f>IF(ISNUMBER(SEARCH("G10",O16)),"G10","G25")</f>
        <v/>
      </c>
      <c r="K16">
        <f>IF(ISNUMBER(SEARCH("AllAge",O16)),"AllAge","TwoAge")</f>
        <v/>
      </c>
      <c r="L16">
        <f>RIGHT(O16,3)</f>
        <v/>
      </c>
      <c r="M16" t="inlineStr">
        <is>
          <t>JAGS_Female_2000</t>
        </is>
      </c>
      <c r="N16" t="n">
        <v>0.05</v>
      </c>
      <c r="O16" t="inlineStr">
        <is>
          <t>Master Model G25 Grizzly XL_TwoAge_5a_6a_14b_15a_B01</t>
        </is>
      </c>
      <c r="P16" s="10" t="n">
        <v>786878</v>
      </c>
      <c r="Q16" s="10" t="n">
        <v>1916</v>
      </c>
      <c r="S16" s="10">
        <f>ROUND(P16-H16,0)</f>
        <v/>
      </c>
      <c r="T16" s="10">
        <f>ROUND(Q16-S16,0)</f>
        <v/>
      </c>
      <c r="V16">
        <f>EXACT(B16,J16)</f>
        <v/>
      </c>
      <c r="W16">
        <f>EXACT(C16,K16)</f>
        <v/>
      </c>
      <c r="X16">
        <f>EXACT(D16,L16)</f>
        <v/>
      </c>
      <c r="Y16">
        <f>EXACT(E16,M16)</f>
        <v/>
      </c>
    </row>
    <row r="17">
      <c r="A17">
        <f>G17&amp;F17&amp;E17</f>
        <v/>
      </c>
      <c r="B17">
        <f>IF(ISNUMBER(SEARCH("G10",G17)),"G10","G25")</f>
        <v/>
      </c>
      <c r="C17">
        <f>IF(ISNUMBER(SEARCH("AllAge",G17)),"AllAge","TwoAge")</f>
        <v/>
      </c>
      <c r="D17">
        <f>RIGHT(G17,3)</f>
        <v/>
      </c>
      <c r="E17" t="inlineStr">
        <is>
          <t>JAGS_Female_2000</t>
        </is>
      </c>
      <c r="F17" t="n">
        <v>0.05</v>
      </c>
      <c r="G17" t="inlineStr">
        <is>
          <t>Master Model G25 Grizzly XL Relapse_TwoAge_B02</t>
        </is>
      </c>
      <c r="H17" s="10" t="n">
        <v>786529</v>
      </c>
      <c r="J17">
        <f>IF(ISNUMBER(SEARCH("G10",O17)),"G10","G25")</f>
        <v/>
      </c>
      <c r="K17">
        <f>IF(ISNUMBER(SEARCH("AllAge",O17)),"AllAge","TwoAge")</f>
        <v/>
      </c>
      <c r="L17">
        <f>RIGHT(O17,3)</f>
        <v/>
      </c>
      <c r="M17" t="inlineStr">
        <is>
          <t>JAGS_Female_2000</t>
        </is>
      </c>
      <c r="N17" t="n">
        <v>0.05</v>
      </c>
      <c r="O17" t="inlineStr">
        <is>
          <t>Master Model G25 Grizzly XL_TwoAge_5a_6a_14b_15a_B02</t>
        </is>
      </c>
      <c r="P17" s="10" t="n">
        <v>786698</v>
      </c>
      <c r="Q17" s="10" t="n">
        <v>1737</v>
      </c>
      <c r="S17" s="10">
        <f>ROUND(P17-H17,0)</f>
        <v/>
      </c>
      <c r="T17" s="10">
        <f>ROUND(Q17-S17,0)</f>
        <v/>
      </c>
      <c r="V17">
        <f>EXACT(B17,J17)</f>
        <v/>
      </c>
      <c r="W17">
        <f>EXACT(C17,K17)</f>
        <v/>
      </c>
      <c r="X17">
        <f>EXACT(D17,L17)</f>
        <v/>
      </c>
      <c r="Y17">
        <f>EXACT(E17,M17)</f>
        <v/>
      </c>
    </row>
    <row r="18">
      <c r="A18">
        <f>G18&amp;F18&amp;E18</f>
        <v/>
      </c>
      <c r="B18">
        <f>IF(ISNUMBER(SEARCH("G10",G18)),"G10","G25")</f>
        <v/>
      </c>
      <c r="C18">
        <f>IF(ISNUMBER(SEARCH("AllAge",G18)),"AllAge","TwoAge")</f>
        <v/>
      </c>
      <c r="D18">
        <f>RIGHT(G18,3)</f>
        <v/>
      </c>
      <c r="E18" t="inlineStr">
        <is>
          <t>JAGS_Female_2000</t>
        </is>
      </c>
      <c r="F18" t="n">
        <v>0.05</v>
      </c>
      <c r="G18" t="inlineStr">
        <is>
          <t>Master Model G25 Grizzly XL Relapse_TwoAge_B03</t>
        </is>
      </c>
      <c r="H18" s="10" t="n">
        <v>785964</v>
      </c>
      <c r="J18">
        <f>IF(ISNUMBER(SEARCH("G10",O18)),"G10","G25")</f>
        <v/>
      </c>
      <c r="K18">
        <f>IF(ISNUMBER(SEARCH("AllAge",O18)),"AllAge","TwoAge")</f>
        <v/>
      </c>
      <c r="L18">
        <f>RIGHT(O18,3)</f>
        <v/>
      </c>
      <c r="M18" t="inlineStr">
        <is>
          <t>JAGS_Female_2000</t>
        </is>
      </c>
      <c r="N18" t="n">
        <v>0.05</v>
      </c>
      <c r="O18" t="inlineStr">
        <is>
          <t>Master Model G25 Grizzly XL_TwoAge_5a_6a_14b_15a_B03</t>
        </is>
      </c>
      <c r="P18" s="10" t="n">
        <v>786143</v>
      </c>
      <c r="Q18" s="10" t="n">
        <v>1181</v>
      </c>
      <c r="S18" s="10">
        <f>ROUND(P18-H18,0)</f>
        <v/>
      </c>
      <c r="T18" s="10">
        <f>ROUND(Q18-S18,0)</f>
        <v/>
      </c>
      <c r="V18">
        <f>EXACT(B18,J18)</f>
        <v/>
      </c>
      <c r="W18">
        <f>EXACT(C18,K18)</f>
        <v/>
      </c>
      <c r="X18">
        <f>EXACT(D18,L18)</f>
        <v/>
      </c>
      <c r="Y18">
        <f>EXACT(E18,M18)</f>
        <v/>
      </c>
    </row>
    <row r="19">
      <c r="A19">
        <f>G19&amp;F19&amp;E19</f>
        <v/>
      </c>
      <c r="B19">
        <f>IF(ISNUMBER(SEARCH("G10",G19)),"G10","G25")</f>
        <v/>
      </c>
      <c r="C19">
        <f>IF(ISNUMBER(SEARCH("AllAge",G19)),"AllAge","TwoAge")</f>
        <v/>
      </c>
      <c r="D19">
        <f>RIGHT(G19,3)</f>
        <v/>
      </c>
      <c r="E19" t="inlineStr">
        <is>
          <t>JAGS_Female_2000</t>
        </is>
      </c>
      <c r="F19" t="n">
        <v>0.05</v>
      </c>
      <c r="G19" t="inlineStr">
        <is>
          <t>Master Model G25 Grizzly XL Relapse_TwoAge_B04</t>
        </is>
      </c>
      <c r="H19" s="10" t="n">
        <v>785657</v>
      </c>
      <c r="J19">
        <f>IF(ISNUMBER(SEARCH("G10",O19)),"G10","G25")</f>
        <v/>
      </c>
      <c r="K19">
        <f>IF(ISNUMBER(SEARCH("AllAge",O19)),"AllAge","TwoAge")</f>
        <v/>
      </c>
      <c r="L19">
        <f>RIGHT(O19,3)</f>
        <v/>
      </c>
      <c r="M19" t="inlineStr">
        <is>
          <t>JAGS_Female_2000</t>
        </is>
      </c>
      <c r="N19" t="n">
        <v>0.05</v>
      </c>
      <c r="O19" t="inlineStr">
        <is>
          <t>Master Model G25 Grizzly XL_TwoAge_5a_6a_14b_15a_B04</t>
        </is>
      </c>
      <c r="P19" s="10" t="n">
        <v>785814</v>
      </c>
      <c r="Q19" s="10" t="n">
        <v>853</v>
      </c>
      <c r="S19" s="10">
        <f>ROUND(P19-H19,0)</f>
        <v/>
      </c>
      <c r="T19" s="10">
        <f>ROUND(Q19-S19,0)</f>
        <v/>
      </c>
      <c r="V19">
        <f>EXACT(B19,J19)</f>
        <v/>
      </c>
      <c r="W19">
        <f>EXACT(C19,K19)</f>
        <v/>
      </c>
      <c r="X19">
        <f>EXACT(D19,L19)</f>
        <v/>
      </c>
      <c r="Y19">
        <f>EXACT(E19,M19)</f>
        <v/>
      </c>
    </row>
    <row r="20">
      <c r="A20">
        <f>G20&amp;F20&amp;E20</f>
        <v/>
      </c>
      <c r="B20">
        <f>IF(ISNUMBER(SEARCH("G10",G20)),"G10","G25")</f>
        <v/>
      </c>
      <c r="C20">
        <f>IF(ISNUMBER(SEARCH("AllAge",G20)),"AllAge","TwoAge")</f>
        <v/>
      </c>
      <c r="D20">
        <f>RIGHT(G20,3)</f>
        <v/>
      </c>
      <c r="E20" t="inlineStr">
        <is>
          <t>JAGS_Female_2000</t>
        </is>
      </c>
      <c r="F20" t="n">
        <v>0.05</v>
      </c>
      <c r="G20" t="inlineStr">
        <is>
          <t>Master Model G25 Grizzly XL Relapse_TwoAge_B05</t>
        </is>
      </c>
      <c r="H20" s="10" t="n">
        <v>785456</v>
      </c>
      <c r="J20">
        <f>IF(ISNUMBER(SEARCH("G10",O20)),"G10","G25")</f>
        <v/>
      </c>
      <c r="K20">
        <f>IF(ISNUMBER(SEARCH("AllAge",O20)),"AllAge","TwoAge")</f>
        <v/>
      </c>
      <c r="L20">
        <f>RIGHT(O20,3)</f>
        <v/>
      </c>
      <c r="M20" t="inlineStr">
        <is>
          <t>JAGS_Female_2000</t>
        </is>
      </c>
      <c r="N20" t="n">
        <v>0.05</v>
      </c>
      <c r="O20" t="inlineStr">
        <is>
          <t>Master Model G25 Grizzly XL_TwoAge_5a_6a_14b_15a_B05</t>
        </is>
      </c>
      <c r="P20" s="10" t="n">
        <v>785557</v>
      </c>
      <c r="Q20" s="10" t="n">
        <v>596</v>
      </c>
      <c r="S20" s="10">
        <f>ROUND(P20-H20,0)</f>
        <v/>
      </c>
      <c r="T20" s="10">
        <f>ROUND(Q20-S20,0)</f>
        <v/>
      </c>
      <c r="V20">
        <f>EXACT(B20,J20)</f>
        <v/>
      </c>
      <c r="W20">
        <f>EXACT(C20,K20)</f>
        <v/>
      </c>
      <c r="X20">
        <f>EXACT(D20,L20)</f>
        <v/>
      </c>
      <c r="Y20">
        <f>EXACT(E20,M20)</f>
        <v/>
      </c>
    </row>
    <row r="21">
      <c r="A21">
        <f>G21&amp;F21&amp;E21</f>
        <v/>
      </c>
      <c r="B21">
        <f>IF(ISNUMBER(SEARCH("G10",G21)),"G10","G25")</f>
        <v/>
      </c>
      <c r="C21">
        <f>IF(ISNUMBER(SEARCH("AllAge",G21)),"AllAge","TwoAge")</f>
        <v/>
      </c>
      <c r="D21">
        <f>RIGHT(G21,3)</f>
        <v/>
      </c>
      <c r="E21" t="inlineStr">
        <is>
          <t>JAGS_Female_2000</t>
        </is>
      </c>
      <c r="F21" t="n">
        <v>0.05</v>
      </c>
      <c r="G21" t="inlineStr">
        <is>
          <t>Master Model G25 Grizzly XL Relapse_TwoAge_B06</t>
        </is>
      </c>
      <c r="H21" s="10" t="n">
        <v>785295</v>
      </c>
      <c r="J21">
        <f>IF(ISNUMBER(SEARCH("G10",O21)),"G10","G25")</f>
        <v/>
      </c>
      <c r="K21">
        <f>IF(ISNUMBER(SEARCH("AllAge",O21)),"AllAge","TwoAge")</f>
        <v/>
      </c>
      <c r="L21">
        <f>RIGHT(O21,3)</f>
        <v/>
      </c>
      <c r="M21" t="inlineStr">
        <is>
          <t>JAGS_Female_2000</t>
        </is>
      </c>
      <c r="N21" t="n">
        <v>0.05</v>
      </c>
      <c r="O21" t="inlineStr">
        <is>
          <t>Master Model G25 Grizzly XL_TwoAge_5a_6a_14b_15a_B06</t>
        </is>
      </c>
      <c r="P21" s="10" t="n">
        <v>785373</v>
      </c>
      <c r="Q21" s="10" t="n">
        <v>412</v>
      </c>
      <c r="S21" s="10">
        <f>ROUND(P21-H21,0)</f>
        <v/>
      </c>
      <c r="T21" s="10">
        <f>ROUND(Q21-S21,0)</f>
        <v/>
      </c>
      <c r="V21">
        <f>EXACT(B21,J21)</f>
        <v/>
      </c>
      <c r="W21">
        <f>EXACT(C21,K21)</f>
        <v/>
      </c>
      <c r="X21">
        <f>EXACT(D21,L21)</f>
        <v/>
      </c>
      <c r="Y21">
        <f>EXACT(E21,M21)</f>
        <v/>
      </c>
    </row>
    <row r="22">
      <c r="A22">
        <f>G22&amp;F22&amp;E22</f>
        <v/>
      </c>
      <c r="B22">
        <f>IF(ISNUMBER(SEARCH("G10",G22)),"G10","G25")</f>
        <v/>
      </c>
      <c r="C22">
        <f>IF(ISNUMBER(SEARCH("AllAge",G22)),"AllAge","TwoAge")</f>
        <v/>
      </c>
      <c r="D22">
        <f>RIGHT(G22,3)</f>
        <v/>
      </c>
      <c r="E22" t="inlineStr">
        <is>
          <t>JAGS_Female_2000</t>
        </is>
      </c>
      <c r="F22" t="n">
        <v>0.05</v>
      </c>
      <c r="G22" t="inlineStr">
        <is>
          <t>Master Model G25 Grizzly XL Relapse_TwoAge_B07</t>
        </is>
      </c>
      <c r="H22" s="10" t="n">
        <v>785131</v>
      </c>
      <c r="J22">
        <f>IF(ISNUMBER(SEARCH("G10",O22)),"G10","G25")</f>
        <v/>
      </c>
      <c r="K22">
        <f>IF(ISNUMBER(SEARCH("AllAge",O22)),"AllAge","TwoAge")</f>
        <v/>
      </c>
      <c r="L22">
        <f>RIGHT(O22,3)</f>
        <v/>
      </c>
      <c r="M22" t="inlineStr">
        <is>
          <t>JAGS_Female_2000</t>
        </is>
      </c>
      <c r="N22" t="n">
        <v>0.05</v>
      </c>
      <c r="O22" t="inlineStr">
        <is>
          <t>Master Model G25 Grizzly XL_TwoAge_5a_6a_14b_15a_B07</t>
        </is>
      </c>
      <c r="P22" s="10" t="n">
        <v>785172</v>
      </c>
      <c r="Q22" s="10" t="n">
        <v>211</v>
      </c>
      <c r="S22" s="10">
        <f>ROUND(P22-H22,0)</f>
        <v/>
      </c>
      <c r="T22" s="10">
        <f>ROUND(Q22-S22,0)</f>
        <v/>
      </c>
      <c r="V22">
        <f>EXACT(B22,J22)</f>
        <v/>
      </c>
      <c r="W22">
        <f>EXACT(C22,K22)</f>
        <v/>
      </c>
      <c r="X22">
        <f>EXACT(D22,L22)</f>
        <v/>
      </c>
      <c r="Y22">
        <f>EXACT(E22,M22)</f>
        <v/>
      </c>
    </row>
    <row r="23">
      <c r="A23">
        <f>G23&amp;F23&amp;E23</f>
        <v/>
      </c>
      <c r="B23">
        <f>IF(ISNUMBER(SEARCH("G10",G23)),"G10","G25")</f>
        <v/>
      </c>
      <c r="C23">
        <f>IF(ISNUMBER(SEARCH("AllAge",G23)),"AllAge","TwoAge")</f>
        <v/>
      </c>
      <c r="D23">
        <f>RIGHT(G23,3)</f>
        <v/>
      </c>
      <c r="E23" t="inlineStr">
        <is>
          <t>JAGS_Female_2000</t>
        </is>
      </c>
      <c r="F23" t="n">
        <v>0.05</v>
      </c>
      <c r="G23" t="inlineStr">
        <is>
          <t>Master Model G25 Grizzly XL Relapse_TwoAge_B08</t>
        </is>
      </c>
      <c r="H23" s="10" t="n">
        <v>785022</v>
      </c>
      <c r="J23">
        <f>IF(ISNUMBER(SEARCH("G10",O23)),"G10","G25")</f>
        <v/>
      </c>
      <c r="K23">
        <f>IF(ISNUMBER(SEARCH("AllAge",O23)),"AllAge","TwoAge")</f>
        <v/>
      </c>
      <c r="L23">
        <f>RIGHT(O23,3)</f>
        <v/>
      </c>
      <c r="M23" t="inlineStr">
        <is>
          <t>JAGS_Female_2000</t>
        </is>
      </c>
      <c r="N23" t="n">
        <v>0.05</v>
      </c>
      <c r="O23" t="inlineStr">
        <is>
          <t>Master Model G25 Grizzly XL_TwoAge_5a_6a_14b_15a_B08</t>
        </is>
      </c>
      <c r="P23" s="10" t="n">
        <v>785033</v>
      </c>
      <c r="Q23" s="10" t="n">
        <v>72</v>
      </c>
      <c r="S23" s="10">
        <f>ROUND(P23-H23,0)</f>
        <v/>
      </c>
      <c r="T23" s="10">
        <f>ROUND(Q23-S23,0)</f>
        <v/>
      </c>
      <c r="V23">
        <f>EXACT(B23,J23)</f>
        <v/>
      </c>
      <c r="W23">
        <f>EXACT(C23,K23)</f>
        <v/>
      </c>
      <c r="X23">
        <f>EXACT(D23,L23)</f>
        <v/>
      </c>
      <c r="Y23">
        <f>EXACT(E23,M23)</f>
        <v/>
      </c>
    </row>
    <row r="24">
      <c r="A24">
        <f>G24&amp;F24&amp;E24</f>
        <v/>
      </c>
      <c r="B24">
        <f>IF(ISNUMBER(SEARCH("G10",G24)),"G10","G25")</f>
        <v/>
      </c>
      <c r="C24">
        <f>IF(ISNUMBER(SEARCH("AllAge",G24)),"AllAge","TwoAge")</f>
        <v/>
      </c>
      <c r="D24">
        <f>RIGHT(G24,3)</f>
        <v/>
      </c>
      <c r="E24" t="inlineStr">
        <is>
          <t>JAGS_Female_2000</t>
        </is>
      </c>
      <c r="F24" t="n">
        <v>0.05</v>
      </c>
      <c r="G24" t="inlineStr">
        <is>
          <t>Master Model G25 Grizzly XL Relapse_TwoAge_B09</t>
        </is>
      </c>
      <c r="H24" s="10" t="n">
        <v>784976</v>
      </c>
      <c r="J24">
        <f>IF(ISNUMBER(SEARCH("G10",O24)),"G10","G25")</f>
        <v/>
      </c>
      <c r="K24">
        <f>IF(ISNUMBER(SEARCH("AllAge",O24)),"AllAge","TwoAge")</f>
        <v/>
      </c>
      <c r="L24">
        <f>RIGHT(O24,3)</f>
        <v/>
      </c>
      <c r="M24" t="inlineStr">
        <is>
          <t>JAGS_Female_2000</t>
        </is>
      </c>
      <c r="N24" t="n">
        <v>0.05</v>
      </c>
      <c r="O24" t="inlineStr">
        <is>
          <t>Master Model G25 Grizzly XL_TwoAge_5a_6a_14b_15a_B09</t>
        </is>
      </c>
      <c r="P24" s="10" t="n">
        <v>784982</v>
      </c>
      <c r="Q24" s="10" t="n">
        <v>21</v>
      </c>
      <c r="S24" s="10">
        <f>ROUND(P24-H24,0)</f>
        <v/>
      </c>
      <c r="T24" s="10">
        <f>ROUND(Q24-S24,0)</f>
        <v/>
      </c>
      <c r="V24">
        <f>EXACT(B24,J24)</f>
        <v/>
      </c>
      <c r="W24">
        <f>EXACT(C24,K24)</f>
        <v/>
      </c>
      <c r="X24">
        <f>EXACT(D24,L24)</f>
        <v/>
      </c>
      <c r="Y24">
        <f>EXACT(E24,M24)</f>
        <v/>
      </c>
    </row>
    <row r="25">
      <c r="A25">
        <f>G25&amp;F25&amp;E25</f>
        <v/>
      </c>
      <c r="B25">
        <f>IF(ISNUMBER(SEARCH("G10",G25)),"G10","G25")</f>
        <v/>
      </c>
      <c r="C25">
        <f>IF(ISNUMBER(SEARCH("AllAge",G25)),"AllAge","TwoAge")</f>
        <v/>
      </c>
      <c r="D25">
        <f>RIGHT(G25,3)</f>
        <v/>
      </c>
      <c r="E25" t="inlineStr">
        <is>
          <t>JAGS_Female_2000</t>
        </is>
      </c>
      <c r="F25" t="n">
        <v>0.05</v>
      </c>
      <c r="G25" t="inlineStr">
        <is>
          <t>Master Model G25 Grizzly XL Relapse_TwoAge_B10</t>
        </is>
      </c>
      <c r="H25" s="10" t="n">
        <v>784967</v>
      </c>
      <c r="J25">
        <f>IF(ISNUMBER(SEARCH("G10",O25)),"G10","G25")</f>
        <v/>
      </c>
      <c r="K25">
        <f>IF(ISNUMBER(SEARCH("AllAge",O25)),"AllAge","TwoAge")</f>
        <v/>
      </c>
      <c r="L25">
        <f>RIGHT(O25,3)</f>
        <v/>
      </c>
      <c r="M25" t="inlineStr">
        <is>
          <t>JAGS_Female_2000</t>
        </is>
      </c>
      <c r="N25" t="n">
        <v>0.05</v>
      </c>
      <c r="O25" t="inlineStr">
        <is>
          <t>Master Model G25 Grizzly XL_TwoAge_5a_6a_14b_15a_B10</t>
        </is>
      </c>
      <c r="P25" s="10" t="n">
        <v>784970</v>
      </c>
      <c r="Q25" s="10" t="n">
        <v>8</v>
      </c>
      <c r="S25" s="10">
        <f>ROUND(P25-H25,0)</f>
        <v/>
      </c>
      <c r="T25" s="10">
        <f>ROUND(Q25-S25,0)</f>
        <v/>
      </c>
      <c r="V25">
        <f>EXACT(B25,J25)</f>
        <v/>
      </c>
      <c r="W25">
        <f>EXACT(C25,K25)</f>
        <v/>
      </c>
      <c r="X25">
        <f>EXACT(D25,L25)</f>
        <v/>
      </c>
      <c r="Y25">
        <f>EXACT(E25,M25)</f>
        <v/>
      </c>
    </row>
    <row r="26">
      <c r="A26">
        <f>G26&amp;F26&amp;E26</f>
        <v/>
      </c>
      <c r="B26">
        <f>IF(ISNUMBER(SEARCH("G10",G26)),"G10","G25")</f>
        <v/>
      </c>
      <c r="C26">
        <f>IF(ISNUMBER(SEARCH("AllAge",G26)),"AllAge","TwoAge")</f>
        <v/>
      </c>
      <c r="D26">
        <f>RIGHT(G26,3)</f>
        <v/>
      </c>
      <c r="E26" t="inlineStr">
        <is>
          <t>JAGS_Female_2000</t>
        </is>
      </c>
      <c r="F26" t="n">
        <v>0.05</v>
      </c>
      <c r="G26" t="inlineStr">
        <is>
          <t>Master Model G25 Grizzly XL Relapse_TwoAge_B11</t>
        </is>
      </c>
      <c r="H26" s="10" t="n">
        <v>784963</v>
      </c>
      <c r="J26">
        <f>IF(ISNUMBER(SEARCH("G10",O26)),"G10","G25")</f>
        <v/>
      </c>
      <c r="K26">
        <f>IF(ISNUMBER(SEARCH("AllAge",O26)),"AllAge","TwoAge")</f>
        <v/>
      </c>
      <c r="L26">
        <f>RIGHT(O26,3)</f>
        <v/>
      </c>
      <c r="M26" t="inlineStr">
        <is>
          <t>JAGS_Female_2000</t>
        </is>
      </c>
      <c r="N26" t="n">
        <v>0.05</v>
      </c>
      <c r="O26" t="inlineStr">
        <is>
          <t>Master Model G25 Grizzly XL_TwoAge_5a_6a_14b_15a_B11</t>
        </is>
      </c>
      <c r="P26" s="10" t="n">
        <v>784963</v>
      </c>
      <c r="Q26" s="10" t="n">
        <v>2</v>
      </c>
      <c r="S26" s="10">
        <f>ROUND(P26-H26,0)</f>
        <v/>
      </c>
      <c r="T26" s="10">
        <f>ROUND(Q26-S26,0)</f>
        <v/>
      </c>
      <c r="V26">
        <f>EXACT(B26,J26)</f>
        <v/>
      </c>
      <c r="W26">
        <f>EXACT(C26,K26)</f>
        <v/>
      </c>
      <c r="X26">
        <f>EXACT(D26,L26)</f>
        <v/>
      </c>
      <c r="Y26">
        <f>EXACT(E26,M26)</f>
        <v/>
      </c>
    </row>
    <row r="27">
      <c r="A27">
        <f>G27&amp;F27&amp;E27</f>
        <v/>
      </c>
      <c r="B27">
        <f>IF(ISNUMBER(SEARCH("G10",G27)),"G10","G25")</f>
        <v/>
      </c>
      <c r="C27">
        <f>IF(ISNUMBER(SEARCH("AllAge",G27)),"AllAge","TwoAge")</f>
        <v/>
      </c>
      <c r="D27">
        <f>RIGHT(G27,3)</f>
        <v/>
      </c>
      <c r="E27" t="inlineStr">
        <is>
          <t>JAGS_Female_2000</t>
        </is>
      </c>
      <c r="F27" t="n">
        <v>0.1</v>
      </c>
      <c r="G27" t="inlineStr">
        <is>
          <t>Master Model G10 Grizzly XL Relapse_TwoAge_B01</t>
        </is>
      </c>
      <c r="H27" s="10" t="n">
        <v>786591</v>
      </c>
      <c r="J27">
        <f>IF(ISNUMBER(SEARCH("G10",O27)),"G10","G25")</f>
        <v/>
      </c>
      <c r="K27">
        <f>IF(ISNUMBER(SEARCH("AllAge",O27)),"AllAge","TwoAge")</f>
        <v/>
      </c>
      <c r="L27">
        <f>RIGHT(O27,3)</f>
        <v/>
      </c>
      <c r="M27" t="inlineStr">
        <is>
          <t>JAGS_Female_2000</t>
        </is>
      </c>
      <c r="N27" t="n">
        <v>0.1</v>
      </c>
      <c r="O27" t="inlineStr">
        <is>
          <t>Master Model G10 Grizzly XL_TwoAge_5a_6a_14b_15a_B01</t>
        </is>
      </c>
      <c r="P27" s="10" t="n">
        <v>786744</v>
      </c>
      <c r="Q27" s="10" t="n">
        <v>1783</v>
      </c>
      <c r="S27" s="10">
        <f>ROUND(P27-H27,0)</f>
        <v/>
      </c>
      <c r="T27" s="10">
        <f>ROUND(Q27-S27,0)</f>
        <v/>
      </c>
      <c r="V27">
        <f>EXACT(B27,J27)</f>
        <v/>
      </c>
      <c r="W27">
        <f>EXACT(C27,K27)</f>
        <v/>
      </c>
      <c r="X27">
        <f>EXACT(D27,L27)</f>
        <v/>
      </c>
      <c r="Y27">
        <f>EXACT(E27,M27)</f>
        <v/>
      </c>
    </row>
    <row r="28">
      <c r="A28">
        <f>G28&amp;F28&amp;E28</f>
        <v/>
      </c>
      <c r="B28">
        <f>IF(ISNUMBER(SEARCH("G10",G28)),"G10","G25")</f>
        <v/>
      </c>
      <c r="C28">
        <f>IF(ISNUMBER(SEARCH("AllAge",G28)),"AllAge","TwoAge")</f>
        <v/>
      </c>
      <c r="D28">
        <f>RIGHT(G28,3)</f>
        <v/>
      </c>
      <c r="E28" t="inlineStr">
        <is>
          <t>JAGS_Female_2000</t>
        </is>
      </c>
      <c r="F28" t="n">
        <v>0.1</v>
      </c>
      <c r="G28" t="inlineStr">
        <is>
          <t>Master Model G10 Grizzly XL Relapse_TwoAge_B02</t>
        </is>
      </c>
      <c r="H28" s="10" t="n">
        <v>786427</v>
      </c>
      <c r="J28">
        <f>IF(ISNUMBER(SEARCH("G10",O28)),"G10","G25")</f>
        <v/>
      </c>
      <c r="K28">
        <f>IF(ISNUMBER(SEARCH("AllAge",O28)),"AllAge","TwoAge")</f>
        <v/>
      </c>
      <c r="L28">
        <f>RIGHT(O28,3)</f>
        <v/>
      </c>
      <c r="M28" t="inlineStr">
        <is>
          <t>JAGS_Female_2000</t>
        </is>
      </c>
      <c r="N28" t="n">
        <v>0.1</v>
      </c>
      <c r="O28" t="inlineStr">
        <is>
          <t>Master Model G10 Grizzly XL_TwoAge_5a_6a_14b_15a_B02</t>
        </is>
      </c>
      <c r="P28" s="10" t="n">
        <v>786584</v>
      </c>
      <c r="Q28" s="10" t="n">
        <v>1622</v>
      </c>
      <c r="S28" s="10">
        <f>ROUND(P28-H28,0)</f>
        <v/>
      </c>
      <c r="T28" s="10">
        <f>ROUND(Q28-S28,0)</f>
        <v/>
      </c>
      <c r="V28">
        <f>EXACT(B28,J28)</f>
        <v/>
      </c>
      <c r="W28">
        <f>EXACT(C28,K28)</f>
        <v/>
      </c>
      <c r="X28">
        <f>EXACT(D28,L28)</f>
        <v/>
      </c>
      <c r="Y28">
        <f>EXACT(E28,M28)</f>
        <v/>
      </c>
    </row>
    <row r="29">
      <c r="A29">
        <f>G29&amp;F29&amp;E29</f>
        <v/>
      </c>
      <c r="B29">
        <f>IF(ISNUMBER(SEARCH("G10",G29)),"G10","G25")</f>
        <v/>
      </c>
      <c r="C29">
        <f>IF(ISNUMBER(SEARCH("AllAge",G29)),"AllAge","TwoAge")</f>
        <v/>
      </c>
      <c r="D29">
        <f>RIGHT(G29,3)</f>
        <v/>
      </c>
      <c r="E29" t="inlineStr">
        <is>
          <t>JAGS_Female_2000</t>
        </is>
      </c>
      <c r="F29" t="n">
        <v>0.1</v>
      </c>
      <c r="G29" t="inlineStr">
        <is>
          <t>Master Model G10 Grizzly XL Relapse_TwoAge_B03</t>
        </is>
      </c>
      <c r="H29" s="10" t="n">
        <v>785876</v>
      </c>
      <c r="J29">
        <f>IF(ISNUMBER(SEARCH("G10",O29)),"G10","G25")</f>
        <v/>
      </c>
      <c r="K29">
        <f>IF(ISNUMBER(SEARCH("AllAge",O29)),"AllAge","TwoAge")</f>
        <v/>
      </c>
      <c r="L29">
        <f>RIGHT(O29,3)</f>
        <v/>
      </c>
      <c r="M29" t="inlineStr">
        <is>
          <t>JAGS_Female_2000</t>
        </is>
      </c>
      <c r="N29" t="n">
        <v>0.1</v>
      </c>
      <c r="O29" t="inlineStr">
        <is>
          <t>Master Model G10 Grizzly XL_TwoAge_5a_6a_14b_15a_B03</t>
        </is>
      </c>
      <c r="P29" s="10" t="n">
        <v>786042</v>
      </c>
      <c r="Q29" s="10" t="n">
        <v>1080</v>
      </c>
      <c r="S29" s="10">
        <f>ROUND(P29-H29,0)</f>
        <v/>
      </c>
      <c r="T29" s="10">
        <f>ROUND(Q29-S29,0)</f>
        <v/>
      </c>
      <c r="V29">
        <f>EXACT(B29,J29)</f>
        <v/>
      </c>
      <c r="W29">
        <f>EXACT(C29,K29)</f>
        <v/>
      </c>
      <c r="X29">
        <f>EXACT(D29,L29)</f>
        <v/>
      </c>
      <c r="Y29">
        <f>EXACT(E29,M29)</f>
        <v/>
      </c>
    </row>
    <row r="30">
      <c r="A30">
        <f>G30&amp;F30&amp;E30</f>
        <v/>
      </c>
      <c r="B30">
        <f>IF(ISNUMBER(SEARCH("G10",G30)),"G10","G25")</f>
        <v/>
      </c>
      <c r="C30">
        <f>IF(ISNUMBER(SEARCH("AllAge",G30)),"AllAge","TwoAge")</f>
        <v/>
      </c>
      <c r="D30">
        <f>RIGHT(G30,3)</f>
        <v/>
      </c>
      <c r="E30" t="inlineStr">
        <is>
          <t>JAGS_Female_2000</t>
        </is>
      </c>
      <c r="F30" t="n">
        <v>0.1</v>
      </c>
      <c r="G30" t="inlineStr">
        <is>
          <t>Master Model G10 Grizzly XL Relapse_TwoAge_B04</t>
        </is>
      </c>
      <c r="H30" s="10" t="n">
        <v>785586</v>
      </c>
      <c r="J30">
        <f>IF(ISNUMBER(SEARCH("G10",O30)),"G10","G25")</f>
        <v/>
      </c>
      <c r="K30">
        <f>IF(ISNUMBER(SEARCH("AllAge",O30)),"AllAge","TwoAge")</f>
        <v/>
      </c>
      <c r="L30">
        <f>RIGHT(O30,3)</f>
        <v/>
      </c>
      <c r="M30" t="inlineStr">
        <is>
          <t>JAGS_Female_2000</t>
        </is>
      </c>
      <c r="N30" t="n">
        <v>0.1</v>
      </c>
      <c r="O30" t="inlineStr">
        <is>
          <t>Master Model G10 Grizzly XL_TwoAge_5a_6a_14b_15a_B04</t>
        </is>
      </c>
      <c r="P30" s="10" t="n">
        <v>785733</v>
      </c>
      <c r="Q30" s="10" t="n">
        <v>772</v>
      </c>
      <c r="S30" s="10">
        <f>ROUND(P30-H30,0)</f>
        <v/>
      </c>
      <c r="T30" s="10">
        <f>ROUND(Q30-S30,0)</f>
        <v/>
      </c>
      <c r="V30">
        <f>EXACT(B30,J30)</f>
        <v/>
      </c>
      <c r="W30">
        <f>EXACT(C30,K30)</f>
        <v/>
      </c>
      <c r="X30">
        <f>EXACT(D30,L30)</f>
        <v/>
      </c>
      <c r="Y30">
        <f>EXACT(E30,M30)</f>
        <v/>
      </c>
    </row>
    <row r="31">
      <c r="A31">
        <f>G31&amp;F31&amp;E31</f>
        <v/>
      </c>
      <c r="B31">
        <f>IF(ISNUMBER(SEARCH("G10",G31)),"G10","G25")</f>
        <v/>
      </c>
      <c r="C31">
        <f>IF(ISNUMBER(SEARCH("AllAge",G31)),"AllAge","TwoAge")</f>
        <v/>
      </c>
      <c r="D31">
        <f>RIGHT(G31,3)</f>
        <v/>
      </c>
      <c r="E31" t="inlineStr">
        <is>
          <t>JAGS_Female_2000</t>
        </is>
      </c>
      <c r="F31" t="n">
        <v>0.1</v>
      </c>
      <c r="G31" t="inlineStr">
        <is>
          <t>Master Model G10 Grizzly XL Relapse_TwoAge_B05</t>
        </is>
      </c>
      <c r="H31" s="10" t="n">
        <v>785409</v>
      </c>
      <c r="J31">
        <f>IF(ISNUMBER(SEARCH("G10",O31)),"G10","G25")</f>
        <v/>
      </c>
      <c r="K31">
        <f>IF(ISNUMBER(SEARCH("AllAge",O31)),"AllAge","TwoAge")</f>
        <v/>
      </c>
      <c r="L31">
        <f>RIGHT(O31,3)</f>
        <v/>
      </c>
      <c r="M31" t="inlineStr">
        <is>
          <t>JAGS_Female_2000</t>
        </is>
      </c>
      <c r="N31" t="n">
        <v>0.1</v>
      </c>
      <c r="O31" t="inlineStr">
        <is>
          <t>Master Model G10 Grizzly XL_TwoAge_5a_6a_14b_15a_B05</t>
        </is>
      </c>
      <c r="P31" s="10" t="n">
        <v>785504</v>
      </c>
      <c r="Q31" s="10" t="n">
        <v>542</v>
      </c>
      <c r="S31" s="10">
        <f>ROUND(P31-H31,0)</f>
        <v/>
      </c>
      <c r="T31" s="10">
        <f>ROUND(Q31-S31,0)</f>
        <v/>
      </c>
      <c r="V31">
        <f>EXACT(B31,J31)</f>
        <v/>
      </c>
      <c r="W31">
        <f>EXACT(C31,K31)</f>
        <v/>
      </c>
      <c r="X31">
        <f>EXACT(D31,L31)</f>
        <v/>
      </c>
      <c r="Y31">
        <f>EXACT(E31,M31)</f>
        <v/>
      </c>
    </row>
    <row r="32">
      <c r="A32">
        <f>G32&amp;F32&amp;E32</f>
        <v/>
      </c>
      <c r="B32">
        <f>IF(ISNUMBER(SEARCH("G10",G32)),"G10","G25")</f>
        <v/>
      </c>
      <c r="C32">
        <f>IF(ISNUMBER(SEARCH("AllAge",G32)),"AllAge","TwoAge")</f>
        <v/>
      </c>
      <c r="D32">
        <f>RIGHT(G32,3)</f>
        <v/>
      </c>
      <c r="E32" t="inlineStr">
        <is>
          <t>JAGS_Female_2000</t>
        </is>
      </c>
      <c r="F32" t="n">
        <v>0.1</v>
      </c>
      <c r="G32" t="inlineStr">
        <is>
          <t>Master Model G10 Grizzly XL Relapse_TwoAge_B06</t>
        </is>
      </c>
      <c r="H32" s="10" t="n">
        <v>785263</v>
      </c>
      <c r="J32">
        <f>IF(ISNUMBER(SEARCH("G10",O32)),"G10","G25")</f>
        <v/>
      </c>
      <c r="K32">
        <f>IF(ISNUMBER(SEARCH("AllAge",O32)),"AllAge","TwoAge")</f>
        <v/>
      </c>
      <c r="L32">
        <f>RIGHT(O32,3)</f>
        <v/>
      </c>
      <c r="M32" t="inlineStr">
        <is>
          <t>JAGS_Female_2000</t>
        </is>
      </c>
      <c r="N32" t="n">
        <v>0.1</v>
      </c>
      <c r="O32" t="inlineStr">
        <is>
          <t>Master Model G10 Grizzly XL_TwoAge_5a_6a_14b_15a_B06</t>
        </is>
      </c>
      <c r="P32" s="10" t="n">
        <v>785337</v>
      </c>
      <c r="Q32" s="10" t="n">
        <v>375</v>
      </c>
      <c r="S32" s="10">
        <f>ROUND(P32-H32,0)</f>
        <v/>
      </c>
      <c r="T32" s="10">
        <f>ROUND(Q32-S32,0)</f>
        <v/>
      </c>
      <c r="V32">
        <f>EXACT(B32,J32)</f>
        <v/>
      </c>
      <c r="W32">
        <f>EXACT(C32,K32)</f>
        <v/>
      </c>
      <c r="X32">
        <f>EXACT(D32,L32)</f>
        <v/>
      </c>
      <c r="Y32">
        <f>EXACT(E32,M32)</f>
        <v/>
      </c>
    </row>
    <row r="33">
      <c r="A33">
        <f>G33&amp;F33&amp;E33</f>
        <v/>
      </c>
      <c r="B33">
        <f>IF(ISNUMBER(SEARCH("G10",G33)),"G10","G25")</f>
        <v/>
      </c>
      <c r="C33">
        <f>IF(ISNUMBER(SEARCH("AllAge",G33)),"AllAge","TwoAge")</f>
        <v/>
      </c>
      <c r="D33">
        <f>RIGHT(G33,3)</f>
        <v/>
      </c>
      <c r="E33" t="inlineStr">
        <is>
          <t>JAGS_Female_2000</t>
        </is>
      </c>
      <c r="F33" t="n">
        <v>0.1</v>
      </c>
      <c r="G33" t="inlineStr">
        <is>
          <t>Master Model G10 Grizzly XL Relapse_TwoAge_B07</t>
        </is>
      </c>
      <c r="H33" s="10" t="n">
        <v>785116</v>
      </c>
      <c r="J33">
        <f>IF(ISNUMBER(SEARCH("G10",O33)),"G10","G25")</f>
        <v/>
      </c>
      <c r="K33">
        <f>IF(ISNUMBER(SEARCH("AllAge",O33)),"AllAge","TwoAge")</f>
        <v/>
      </c>
      <c r="L33">
        <f>RIGHT(O33,3)</f>
        <v/>
      </c>
      <c r="M33" t="inlineStr">
        <is>
          <t>JAGS_Female_2000</t>
        </is>
      </c>
      <c r="N33" t="n">
        <v>0.1</v>
      </c>
      <c r="O33" t="inlineStr">
        <is>
          <t>Master Model G10 Grizzly XL_TwoAge_5a_6a_14b_15a_B07</t>
        </is>
      </c>
      <c r="P33" s="10" t="n">
        <v>785154</v>
      </c>
      <c r="Q33" s="10" t="n">
        <v>193</v>
      </c>
      <c r="S33" s="10">
        <f>ROUND(P33-H33,0)</f>
        <v/>
      </c>
      <c r="T33" s="10">
        <f>ROUND(Q33-S33,0)</f>
        <v/>
      </c>
      <c r="V33">
        <f>EXACT(B33,J33)</f>
        <v/>
      </c>
      <c r="W33">
        <f>EXACT(C33,K33)</f>
        <v/>
      </c>
      <c r="X33">
        <f>EXACT(D33,L33)</f>
        <v/>
      </c>
      <c r="Y33">
        <f>EXACT(E33,M33)</f>
        <v/>
      </c>
    </row>
    <row r="34">
      <c r="A34">
        <f>G34&amp;F34&amp;E34</f>
        <v/>
      </c>
      <c r="B34">
        <f>IF(ISNUMBER(SEARCH("G10",G34)),"G10","G25")</f>
        <v/>
      </c>
      <c r="C34">
        <f>IF(ISNUMBER(SEARCH("AllAge",G34)),"AllAge","TwoAge")</f>
        <v/>
      </c>
      <c r="D34">
        <f>RIGHT(G34,3)</f>
        <v/>
      </c>
      <c r="E34" t="inlineStr">
        <is>
          <t>JAGS_Female_2000</t>
        </is>
      </c>
      <c r="F34" t="n">
        <v>0.1</v>
      </c>
      <c r="G34" t="inlineStr">
        <is>
          <t>Master Model G10 Grizzly XL Relapse_TwoAge_B08</t>
        </is>
      </c>
      <c r="H34" s="10" t="n">
        <v>785018</v>
      </c>
      <c r="J34">
        <f>IF(ISNUMBER(SEARCH("G10",O34)),"G10","G25")</f>
        <v/>
      </c>
      <c r="K34">
        <f>IF(ISNUMBER(SEARCH("AllAge",O34)),"AllAge","TwoAge")</f>
        <v/>
      </c>
      <c r="L34">
        <f>RIGHT(O34,3)</f>
        <v/>
      </c>
      <c r="M34" t="inlineStr">
        <is>
          <t>JAGS_Female_2000</t>
        </is>
      </c>
      <c r="N34" t="n">
        <v>0.1</v>
      </c>
      <c r="O34" t="inlineStr">
        <is>
          <t>Master Model G10 Grizzly XL_TwoAge_5a_6a_14b_15a_B08</t>
        </is>
      </c>
      <c r="P34" s="10" t="n">
        <v>785028</v>
      </c>
      <c r="Q34" s="10" t="n">
        <v>66</v>
      </c>
      <c r="S34" s="10">
        <f>ROUND(P34-H34,0)</f>
        <v/>
      </c>
      <c r="T34" s="10">
        <f>ROUND(Q34-S34,0)</f>
        <v/>
      </c>
      <c r="V34">
        <f>EXACT(B34,J34)</f>
        <v/>
      </c>
      <c r="W34">
        <f>EXACT(C34,K34)</f>
        <v/>
      </c>
      <c r="X34">
        <f>EXACT(D34,L34)</f>
        <v/>
      </c>
      <c r="Y34">
        <f>EXACT(E34,M34)</f>
        <v/>
      </c>
    </row>
    <row r="35">
      <c r="A35">
        <f>G35&amp;F35&amp;E35</f>
        <v/>
      </c>
      <c r="B35">
        <f>IF(ISNUMBER(SEARCH("G10",G35)),"G10","G25")</f>
        <v/>
      </c>
      <c r="C35">
        <f>IF(ISNUMBER(SEARCH("AllAge",G35)),"AllAge","TwoAge")</f>
        <v/>
      </c>
      <c r="D35">
        <f>RIGHT(G35,3)</f>
        <v/>
      </c>
      <c r="E35" t="inlineStr">
        <is>
          <t>JAGS_Female_2000</t>
        </is>
      </c>
      <c r="F35" t="n">
        <v>0.1</v>
      </c>
      <c r="G35" t="inlineStr">
        <is>
          <t>Master Model G10 Grizzly XL Relapse_TwoAge_B09</t>
        </is>
      </c>
      <c r="H35" s="10" t="n">
        <v>784974</v>
      </c>
      <c r="J35">
        <f>IF(ISNUMBER(SEARCH("G10",O35)),"G10","G25")</f>
        <v/>
      </c>
      <c r="K35">
        <f>IF(ISNUMBER(SEARCH("AllAge",O35)),"AllAge","TwoAge")</f>
        <v/>
      </c>
      <c r="L35">
        <f>RIGHT(O35,3)</f>
        <v/>
      </c>
      <c r="M35" t="inlineStr">
        <is>
          <t>JAGS_Female_2000</t>
        </is>
      </c>
      <c r="N35" t="n">
        <v>0.1</v>
      </c>
      <c r="O35" t="inlineStr">
        <is>
          <t>Master Model G10 Grizzly XL_TwoAge_5a_6a_14b_15a_B09</t>
        </is>
      </c>
      <c r="P35" s="10" t="n">
        <v>784980</v>
      </c>
      <c r="Q35" s="10" t="n">
        <v>19</v>
      </c>
      <c r="S35" s="10">
        <f>ROUND(P35-H35,0)</f>
        <v/>
      </c>
      <c r="T35" s="10">
        <f>ROUND(Q35-S35,0)</f>
        <v/>
      </c>
      <c r="V35">
        <f>EXACT(B35,J35)</f>
        <v/>
      </c>
      <c r="W35">
        <f>EXACT(C35,K35)</f>
        <v/>
      </c>
      <c r="X35">
        <f>EXACT(D35,L35)</f>
        <v/>
      </c>
      <c r="Y35">
        <f>EXACT(E35,M35)</f>
        <v/>
      </c>
    </row>
    <row r="36">
      <c r="A36">
        <f>G36&amp;F36&amp;E36</f>
        <v/>
      </c>
      <c r="B36">
        <f>IF(ISNUMBER(SEARCH("G10",G36)),"G10","G25")</f>
        <v/>
      </c>
      <c r="C36">
        <f>IF(ISNUMBER(SEARCH("AllAge",G36)),"AllAge","TwoAge")</f>
        <v/>
      </c>
      <c r="D36">
        <f>RIGHT(G36,3)</f>
        <v/>
      </c>
      <c r="E36" t="inlineStr">
        <is>
          <t>JAGS_Female_2000</t>
        </is>
      </c>
      <c r="F36" t="n">
        <v>0.1</v>
      </c>
      <c r="G36" t="inlineStr">
        <is>
          <t>Master Model G10 Grizzly XL Relapse_TwoAge_B10</t>
        </is>
      </c>
      <c r="H36" s="10" t="n">
        <v>784966</v>
      </c>
      <c r="J36">
        <f>IF(ISNUMBER(SEARCH("G10",O36)),"G10","G25")</f>
        <v/>
      </c>
      <c r="K36">
        <f>IF(ISNUMBER(SEARCH("AllAge",O36)),"AllAge","TwoAge")</f>
        <v/>
      </c>
      <c r="L36">
        <f>RIGHT(O36,3)</f>
        <v/>
      </c>
      <c r="M36" t="inlineStr">
        <is>
          <t>JAGS_Female_2000</t>
        </is>
      </c>
      <c r="N36" t="n">
        <v>0.1</v>
      </c>
      <c r="O36" t="inlineStr">
        <is>
          <t>Master Model G10 Grizzly XL_TwoAge_5a_6a_14b_15a_B10</t>
        </is>
      </c>
      <c r="P36" s="10" t="n">
        <v>784969</v>
      </c>
      <c r="Q36" s="10" t="n">
        <v>7</v>
      </c>
      <c r="S36" s="10">
        <f>ROUND(P36-H36,0)</f>
        <v/>
      </c>
      <c r="T36" s="10">
        <f>ROUND(Q36-S36,0)</f>
        <v/>
      </c>
      <c r="V36">
        <f>EXACT(B36,J36)</f>
        <v/>
      </c>
      <c r="W36">
        <f>EXACT(C36,K36)</f>
        <v/>
      </c>
      <c r="X36">
        <f>EXACT(D36,L36)</f>
        <v/>
      </c>
      <c r="Y36">
        <f>EXACT(E36,M36)</f>
        <v/>
      </c>
    </row>
    <row r="37">
      <c r="A37">
        <f>G37&amp;F37&amp;E37</f>
        <v/>
      </c>
      <c r="B37">
        <f>IF(ISNUMBER(SEARCH("G10",G37)),"G10","G25")</f>
        <v/>
      </c>
      <c r="C37">
        <f>IF(ISNUMBER(SEARCH("AllAge",G37)),"AllAge","TwoAge")</f>
        <v/>
      </c>
      <c r="D37">
        <f>RIGHT(G37,3)</f>
        <v/>
      </c>
      <c r="E37" t="inlineStr">
        <is>
          <t>JAGS_Female_2000</t>
        </is>
      </c>
      <c r="F37" t="n">
        <v>0.1</v>
      </c>
      <c r="G37" t="inlineStr">
        <is>
          <t>Master Model G10 Grizzly XL Relapse_TwoAge_B11</t>
        </is>
      </c>
      <c r="H37" s="10" t="n">
        <v>784963</v>
      </c>
      <c r="J37">
        <f>IF(ISNUMBER(SEARCH("G10",O37)),"G10","G25")</f>
        <v/>
      </c>
      <c r="K37">
        <f>IF(ISNUMBER(SEARCH("AllAge",O37)),"AllAge","TwoAge")</f>
        <v/>
      </c>
      <c r="L37">
        <f>RIGHT(O37,3)</f>
        <v/>
      </c>
      <c r="M37" t="inlineStr">
        <is>
          <t>JAGS_Female_2000</t>
        </is>
      </c>
      <c r="N37" t="n">
        <v>0.1</v>
      </c>
      <c r="O37" t="inlineStr">
        <is>
          <t>Master Model G10 Grizzly XL_TwoAge_5a_6a_14b_15a_B11</t>
        </is>
      </c>
      <c r="P37" s="10" t="n">
        <v>784963</v>
      </c>
      <c r="Q37" s="10" t="n">
        <v>2</v>
      </c>
      <c r="S37" s="10">
        <f>ROUND(P37-H37,0)</f>
        <v/>
      </c>
      <c r="T37" s="10">
        <f>ROUND(Q37-S37,0)</f>
        <v/>
      </c>
      <c r="V37">
        <f>EXACT(B37,J37)</f>
        <v/>
      </c>
      <c r="W37">
        <f>EXACT(C37,K37)</f>
        <v/>
      </c>
      <c r="X37">
        <f>EXACT(D37,L37)</f>
        <v/>
      </c>
      <c r="Y37">
        <f>EXACT(E37,M37)</f>
        <v/>
      </c>
    </row>
    <row r="38">
      <c r="A38">
        <f>G38&amp;F38&amp;E38</f>
        <v/>
      </c>
      <c r="B38">
        <f>IF(ISNUMBER(SEARCH("G10",G38)),"G10","G25")</f>
        <v/>
      </c>
      <c r="C38">
        <f>IF(ISNUMBER(SEARCH("AllAge",G38)),"AllAge","TwoAge")</f>
        <v/>
      </c>
      <c r="D38">
        <f>RIGHT(G38,3)</f>
        <v/>
      </c>
      <c r="E38" t="inlineStr">
        <is>
          <t>JAGS_Female_2000</t>
        </is>
      </c>
      <c r="F38" t="n">
        <v>0.1</v>
      </c>
      <c r="G38" t="inlineStr">
        <is>
          <t>Master Model G25 Grizzly XL Relapse_TwoAge_B01</t>
        </is>
      </c>
      <c r="H38" s="10" t="n">
        <v>786271</v>
      </c>
      <c r="J38">
        <f>IF(ISNUMBER(SEARCH("G10",O38)),"G10","G25")</f>
        <v/>
      </c>
      <c r="K38">
        <f>IF(ISNUMBER(SEARCH("AllAge",O38)),"AllAge","TwoAge")</f>
        <v/>
      </c>
      <c r="L38">
        <f>RIGHT(O38,3)</f>
        <v/>
      </c>
      <c r="M38" t="inlineStr">
        <is>
          <t>JAGS_Female_2000</t>
        </is>
      </c>
      <c r="N38" t="n">
        <v>0.1</v>
      </c>
      <c r="O38" t="inlineStr">
        <is>
          <t>Master Model G25 Grizzly XL_TwoAge_5a_6a_14b_15a_B01</t>
        </is>
      </c>
      <c r="P38" s="10" t="n">
        <v>786423</v>
      </c>
      <c r="Q38" s="10" t="n">
        <v>1462</v>
      </c>
      <c r="S38" s="10">
        <f>ROUND(P38-H38,0)</f>
        <v/>
      </c>
      <c r="T38" s="10">
        <f>ROUND(Q38-S38,0)</f>
        <v/>
      </c>
      <c r="V38">
        <f>EXACT(B38,J38)</f>
        <v/>
      </c>
      <c r="W38">
        <f>EXACT(C38,K38)</f>
        <v/>
      </c>
      <c r="X38">
        <f>EXACT(D38,L38)</f>
        <v/>
      </c>
      <c r="Y38">
        <f>EXACT(E38,M38)</f>
        <v/>
      </c>
    </row>
    <row r="39">
      <c r="A39">
        <f>G39&amp;F39&amp;E39</f>
        <v/>
      </c>
      <c r="B39">
        <f>IF(ISNUMBER(SEARCH("G10",G39)),"G10","G25")</f>
        <v/>
      </c>
      <c r="C39">
        <f>IF(ISNUMBER(SEARCH("AllAge",G39)),"AllAge","TwoAge")</f>
        <v/>
      </c>
      <c r="D39">
        <f>RIGHT(G39,3)</f>
        <v/>
      </c>
      <c r="E39" t="inlineStr">
        <is>
          <t>JAGS_Female_2000</t>
        </is>
      </c>
      <c r="F39" t="n">
        <v>0.1</v>
      </c>
      <c r="G39" t="inlineStr">
        <is>
          <t>Master Model G25 Grizzly XL Relapse_TwoAge_B02</t>
        </is>
      </c>
      <c r="H39" s="10" t="n">
        <v>786190</v>
      </c>
      <c r="J39">
        <f>IF(ISNUMBER(SEARCH("G10",O39)),"G10","G25")</f>
        <v/>
      </c>
      <c r="K39">
        <f>IF(ISNUMBER(SEARCH("AllAge",O39)),"AllAge","TwoAge")</f>
        <v/>
      </c>
      <c r="L39">
        <f>RIGHT(O39,3)</f>
        <v/>
      </c>
      <c r="M39" t="inlineStr">
        <is>
          <t>JAGS_Female_2000</t>
        </is>
      </c>
      <c r="N39" t="n">
        <v>0.1</v>
      </c>
      <c r="O39" t="inlineStr">
        <is>
          <t>Master Model G25 Grizzly XL_TwoAge_5a_6a_14b_15a_B02</t>
        </is>
      </c>
      <c r="P39" s="10" t="n">
        <v>786347</v>
      </c>
      <c r="Q39" s="10" t="n">
        <v>1386</v>
      </c>
      <c r="S39" s="10">
        <f>ROUND(P39-H39,0)</f>
        <v/>
      </c>
      <c r="T39" s="10">
        <f>ROUND(Q39-S39,0)</f>
        <v/>
      </c>
      <c r="V39">
        <f>EXACT(B39,J39)</f>
        <v/>
      </c>
      <c r="W39">
        <f>EXACT(C39,K39)</f>
        <v/>
      </c>
      <c r="X39">
        <f>EXACT(D39,L39)</f>
        <v/>
      </c>
      <c r="Y39">
        <f>EXACT(E39,M39)</f>
        <v/>
      </c>
    </row>
    <row r="40">
      <c r="A40">
        <f>G40&amp;F40&amp;E40</f>
        <v/>
      </c>
      <c r="B40">
        <f>IF(ISNUMBER(SEARCH("G10",G40)),"G10","G25")</f>
        <v/>
      </c>
      <c r="C40">
        <f>IF(ISNUMBER(SEARCH("AllAge",G40)),"AllAge","TwoAge")</f>
        <v/>
      </c>
      <c r="D40">
        <f>RIGHT(G40,3)</f>
        <v/>
      </c>
      <c r="E40" t="inlineStr">
        <is>
          <t>JAGS_Female_2000</t>
        </is>
      </c>
      <c r="F40" t="n">
        <v>0.1</v>
      </c>
      <c r="G40" t="inlineStr">
        <is>
          <t>Master Model G25 Grizzly XL Relapse_TwoAge_B03</t>
        </is>
      </c>
      <c r="H40" s="10" t="n">
        <v>785790</v>
      </c>
      <c r="J40">
        <f>IF(ISNUMBER(SEARCH("G10",O40)),"G10","G25")</f>
        <v/>
      </c>
      <c r="K40">
        <f>IF(ISNUMBER(SEARCH("AllAge",O40)),"AllAge","TwoAge")</f>
        <v/>
      </c>
      <c r="L40">
        <f>RIGHT(O40,3)</f>
        <v/>
      </c>
      <c r="M40" t="inlineStr">
        <is>
          <t>JAGS_Female_2000</t>
        </is>
      </c>
      <c r="N40" t="n">
        <v>0.1</v>
      </c>
      <c r="O40" t="inlineStr">
        <is>
          <t>Master Model G25 Grizzly XL_TwoAge_5a_6a_14b_15a_B03</t>
        </is>
      </c>
      <c r="P40" s="10" t="n">
        <v>785955</v>
      </c>
      <c r="Q40" s="10" t="n">
        <v>994</v>
      </c>
      <c r="S40" s="10">
        <f>ROUND(P40-H40,0)</f>
        <v/>
      </c>
      <c r="T40" s="10">
        <f>ROUND(Q40-S40,0)</f>
        <v/>
      </c>
      <c r="V40">
        <f>EXACT(B40,J40)</f>
        <v/>
      </c>
      <c r="W40">
        <f>EXACT(C40,K40)</f>
        <v/>
      </c>
      <c r="X40">
        <f>EXACT(D40,L40)</f>
        <v/>
      </c>
      <c r="Y40">
        <f>EXACT(E40,M40)</f>
        <v/>
      </c>
    </row>
    <row r="41">
      <c r="A41">
        <f>G41&amp;F41&amp;E41</f>
        <v/>
      </c>
      <c r="B41">
        <f>IF(ISNUMBER(SEARCH("G10",G41)),"G10","G25")</f>
        <v/>
      </c>
      <c r="C41">
        <f>IF(ISNUMBER(SEARCH("AllAge",G41)),"AllAge","TwoAge")</f>
        <v/>
      </c>
      <c r="D41">
        <f>RIGHT(G41,3)</f>
        <v/>
      </c>
      <c r="E41" t="inlineStr">
        <is>
          <t>JAGS_Female_2000</t>
        </is>
      </c>
      <c r="F41" t="n">
        <v>0.1</v>
      </c>
      <c r="G41" t="inlineStr">
        <is>
          <t>Master Model G25 Grizzly XL Relapse_TwoAge_B04</t>
        </is>
      </c>
      <c r="H41" s="10" t="n">
        <v>785586</v>
      </c>
      <c r="J41">
        <f>IF(ISNUMBER(SEARCH("G10",O41)),"G10","G25")</f>
        <v/>
      </c>
      <c r="K41">
        <f>IF(ISNUMBER(SEARCH("AllAge",O41)),"AllAge","TwoAge")</f>
        <v/>
      </c>
      <c r="L41">
        <f>RIGHT(O41,3)</f>
        <v/>
      </c>
      <c r="M41" t="inlineStr">
        <is>
          <t>JAGS_Female_2000</t>
        </is>
      </c>
      <c r="N41" t="n">
        <v>0.1</v>
      </c>
      <c r="O41" t="inlineStr">
        <is>
          <t>Master Model G25 Grizzly XL_TwoAge_5a_6a_14b_15a_B04</t>
        </is>
      </c>
      <c r="P41" s="10" t="n">
        <v>785733</v>
      </c>
      <c r="Q41" s="10" t="n">
        <v>772</v>
      </c>
      <c r="S41" s="10">
        <f>ROUND(P41-H41,0)</f>
        <v/>
      </c>
      <c r="T41" s="10">
        <f>ROUND(Q41-S41,0)</f>
        <v/>
      </c>
      <c r="V41">
        <f>EXACT(B41,J41)</f>
        <v/>
      </c>
      <c r="W41">
        <f>EXACT(C41,K41)</f>
        <v/>
      </c>
      <c r="X41">
        <f>EXACT(D41,L41)</f>
        <v/>
      </c>
      <c r="Y41">
        <f>EXACT(E41,M41)</f>
        <v/>
      </c>
    </row>
    <row r="42">
      <c r="A42">
        <f>G42&amp;F42&amp;E42</f>
        <v/>
      </c>
      <c r="B42">
        <f>IF(ISNUMBER(SEARCH("G10",G42)),"G10","G25")</f>
        <v/>
      </c>
      <c r="C42">
        <f>IF(ISNUMBER(SEARCH("AllAge",G42)),"AllAge","TwoAge")</f>
        <v/>
      </c>
      <c r="D42">
        <f>RIGHT(G42,3)</f>
        <v/>
      </c>
      <c r="E42" t="inlineStr">
        <is>
          <t>JAGS_Female_2000</t>
        </is>
      </c>
      <c r="F42" t="n">
        <v>0.1</v>
      </c>
      <c r="G42" t="inlineStr">
        <is>
          <t>Master Model G25 Grizzly XL Relapse_TwoAge_B05</t>
        </is>
      </c>
      <c r="H42" s="10" t="n">
        <v>785409</v>
      </c>
      <c r="J42">
        <f>IF(ISNUMBER(SEARCH("G10",O42)),"G10","G25")</f>
        <v/>
      </c>
      <c r="K42">
        <f>IF(ISNUMBER(SEARCH("AllAge",O42)),"AllAge","TwoAge")</f>
        <v/>
      </c>
      <c r="L42">
        <f>RIGHT(O42,3)</f>
        <v/>
      </c>
      <c r="M42" t="inlineStr">
        <is>
          <t>JAGS_Female_2000</t>
        </is>
      </c>
      <c r="N42" t="n">
        <v>0.1</v>
      </c>
      <c r="O42" t="inlineStr">
        <is>
          <t>Master Model G25 Grizzly XL_TwoAge_5a_6a_14b_15a_B05</t>
        </is>
      </c>
      <c r="P42" s="10" t="n">
        <v>785504</v>
      </c>
      <c r="Q42" s="10" t="n">
        <v>542</v>
      </c>
      <c r="S42" s="10">
        <f>ROUND(P42-H42,0)</f>
        <v/>
      </c>
      <c r="T42" s="10">
        <f>ROUND(Q42-S42,0)</f>
        <v/>
      </c>
      <c r="V42">
        <f>EXACT(B42,J42)</f>
        <v/>
      </c>
      <c r="W42">
        <f>EXACT(C42,K42)</f>
        <v/>
      </c>
      <c r="X42">
        <f>EXACT(D42,L42)</f>
        <v/>
      </c>
      <c r="Y42">
        <f>EXACT(E42,M42)</f>
        <v/>
      </c>
    </row>
    <row r="43">
      <c r="A43">
        <f>G43&amp;F43&amp;E43</f>
        <v/>
      </c>
      <c r="B43">
        <f>IF(ISNUMBER(SEARCH("G10",G43)),"G10","G25")</f>
        <v/>
      </c>
      <c r="C43">
        <f>IF(ISNUMBER(SEARCH("AllAge",G43)),"AllAge","TwoAge")</f>
        <v/>
      </c>
      <c r="D43">
        <f>RIGHT(G43,3)</f>
        <v/>
      </c>
      <c r="E43" t="inlineStr">
        <is>
          <t>JAGS_Female_2000</t>
        </is>
      </c>
      <c r="F43" t="n">
        <v>0.1</v>
      </c>
      <c r="G43" t="inlineStr">
        <is>
          <t>Master Model G25 Grizzly XL Relapse_TwoAge_B06</t>
        </is>
      </c>
      <c r="H43" s="10" t="n">
        <v>785263</v>
      </c>
      <c r="J43">
        <f>IF(ISNUMBER(SEARCH("G10",O43)),"G10","G25")</f>
        <v/>
      </c>
      <c r="K43">
        <f>IF(ISNUMBER(SEARCH("AllAge",O43)),"AllAge","TwoAge")</f>
        <v/>
      </c>
      <c r="L43">
        <f>RIGHT(O43,3)</f>
        <v/>
      </c>
      <c r="M43" t="inlineStr">
        <is>
          <t>JAGS_Female_2000</t>
        </is>
      </c>
      <c r="N43" t="n">
        <v>0.1</v>
      </c>
      <c r="O43" t="inlineStr">
        <is>
          <t>Master Model G25 Grizzly XL_TwoAge_5a_6a_14b_15a_B06</t>
        </is>
      </c>
      <c r="P43" s="10" t="n">
        <v>785337</v>
      </c>
      <c r="Q43" s="10" t="n">
        <v>375</v>
      </c>
      <c r="S43" s="10">
        <f>ROUND(P43-H43,0)</f>
        <v/>
      </c>
      <c r="T43" s="10">
        <f>ROUND(Q43-S43,0)</f>
        <v/>
      </c>
      <c r="V43">
        <f>EXACT(B43,J43)</f>
        <v/>
      </c>
      <c r="W43">
        <f>EXACT(C43,K43)</f>
        <v/>
      </c>
      <c r="X43">
        <f>EXACT(D43,L43)</f>
        <v/>
      </c>
      <c r="Y43">
        <f>EXACT(E43,M43)</f>
        <v/>
      </c>
    </row>
    <row r="44">
      <c r="A44">
        <f>G44&amp;F44&amp;E44</f>
        <v/>
      </c>
      <c r="B44">
        <f>IF(ISNUMBER(SEARCH("G10",G44)),"G10","G25")</f>
        <v/>
      </c>
      <c r="C44">
        <f>IF(ISNUMBER(SEARCH("AllAge",G44)),"AllAge","TwoAge")</f>
        <v/>
      </c>
      <c r="D44">
        <f>RIGHT(G44,3)</f>
        <v/>
      </c>
      <c r="E44" t="inlineStr">
        <is>
          <t>JAGS_Female_2000</t>
        </is>
      </c>
      <c r="F44" t="n">
        <v>0.1</v>
      </c>
      <c r="G44" t="inlineStr">
        <is>
          <t>Master Model G25 Grizzly XL Relapse_TwoAge_B07</t>
        </is>
      </c>
      <c r="H44" s="10" t="n">
        <v>785116</v>
      </c>
      <c r="J44">
        <f>IF(ISNUMBER(SEARCH("G10",O44)),"G10","G25")</f>
        <v/>
      </c>
      <c r="K44">
        <f>IF(ISNUMBER(SEARCH("AllAge",O44)),"AllAge","TwoAge")</f>
        <v/>
      </c>
      <c r="L44">
        <f>RIGHT(O44,3)</f>
        <v/>
      </c>
      <c r="M44" t="inlineStr">
        <is>
          <t>JAGS_Female_2000</t>
        </is>
      </c>
      <c r="N44" t="n">
        <v>0.1</v>
      </c>
      <c r="O44" t="inlineStr">
        <is>
          <t>Master Model G25 Grizzly XL_TwoAge_5a_6a_14b_15a_B07</t>
        </is>
      </c>
      <c r="P44" s="10" t="n">
        <v>785154</v>
      </c>
      <c r="Q44" s="10" t="n">
        <v>193</v>
      </c>
      <c r="S44" s="10">
        <f>ROUND(P44-H44,0)</f>
        <v/>
      </c>
      <c r="T44" s="10">
        <f>ROUND(Q44-S44,0)</f>
        <v/>
      </c>
      <c r="V44">
        <f>EXACT(B44,J44)</f>
        <v/>
      </c>
      <c r="W44">
        <f>EXACT(C44,K44)</f>
        <v/>
      </c>
      <c r="X44">
        <f>EXACT(D44,L44)</f>
        <v/>
      </c>
      <c r="Y44">
        <f>EXACT(E44,M44)</f>
        <v/>
      </c>
    </row>
    <row r="45">
      <c r="A45">
        <f>G45&amp;F45&amp;E45</f>
        <v/>
      </c>
      <c r="B45">
        <f>IF(ISNUMBER(SEARCH("G10",G45)),"G10","G25")</f>
        <v/>
      </c>
      <c r="C45">
        <f>IF(ISNUMBER(SEARCH("AllAge",G45)),"AllAge","TwoAge")</f>
        <v/>
      </c>
      <c r="D45">
        <f>RIGHT(G45,3)</f>
        <v/>
      </c>
      <c r="E45" t="inlineStr">
        <is>
          <t>JAGS_Female_2000</t>
        </is>
      </c>
      <c r="F45" t="n">
        <v>0.1</v>
      </c>
      <c r="G45" t="inlineStr">
        <is>
          <t>Master Model G25 Grizzly XL Relapse_TwoAge_B08</t>
        </is>
      </c>
      <c r="H45" s="10" t="n">
        <v>785018</v>
      </c>
      <c r="J45">
        <f>IF(ISNUMBER(SEARCH("G10",O45)),"G10","G25")</f>
        <v/>
      </c>
      <c r="K45">
        <f>IF(ISNUMBER(SEARCH("AllAge",O45)),"AllAge","TwoAge")</f>
        <v/>
      </c>
      <c r="L45">
        <f>RIGHT(O45,3)</f>
        <v/>
      </c>
      <c r="M45" t="inlineStr">
        <is>
          <t>JAGS_Female_2000</t>
        </is>
      </c>
      <c r="N45" t="n">
        <v>0.1</v>
      </c>
      <c r="O45" t="inlineStr">
        <is>
          <t>Master Model G25 Grizzly XL_TwoAge_5a_6a_14b_15a_B08</t>
        </is>
      </c>
      <c r="P45" s="10" t="n">
        <v>785028</v>
      </c>
      <c r="Q45" s="10" t="n">
        <v>66</v>
      </c>
      <c r="S45" s="10">
        <f>ROUND(P45-H45,0)</f>
        <v/>
      </c>
      <c r="T45" s="10">
        <f>ROUND(Q45-S45,0)</f>
        <v/>
      </c>
      <c r="V45">
        <f>EXACT(B45,J45)</f>
        <v/>
      </c>
      <c r="W45">
        <f>EXACT(C45,K45)</f>
        <v/>
      </c>
      <c r="X45">
        <f>EXACT(D45,L45)</f>
        <v/>
      </c>
      <c r="Y45">
        <f>EXACT(E45,M45)</f>
        <v/>
      </c>
    </row>
    <row r="46">
      <c r="A46">
        <f>G46&amp;F46&amp;E46</f>
        <v/>
      </c>
      <c r="B46">
        <f>IF(ISNUMBER(SEARCH("G10",G46)),"G10","G25")</f>
        <v/>
      </c>
      <c r="C46">
        <f>IF(ISNUMBER(SEARCH("AllAge",G46)),"AllAge","TwoAge")</f>
        <v/>
      </c>
      <c r="D46">
        <f>RIGHT(G46,3)</f>
        <v/>
      </c>
      <c r="E46" t="inlineStr">
        <is>
          <t>JAGS_Female_2000</t>
        </is>
      </c>
      <c r="F46" t="n">
        <v>0.1</v>
      </c>
      <c r="G46" t="inlineStr">
        <is>
          <t>Master Model G25 Grizzly XL Relapse_TwoAge_B09</t>
        </is>
      </c>
      <c r="H46" s="10" t="n">
        <v>784974</v>
      </c>
      <c r="J46">
        <f>IF(ISNUMBER(SEARCH("G10",O46)),"G10","G25")</f>
        <v/>
      </c>
      <c r="K46">
        <f>IF(ISNUMBER(SEARCH("AllAge",O46)),"AllAge","TwoAge")</f>
        <v/>
      </c>
      <c r="L46">
        <f>RIGHT(O46,3)</f>
        <v/>
      </c>
      <c r="M46" t="inlineStr">
        <is>
          <t>JAGS_Female_2000</t>
        </is>
      </c>
      <c r="N46" t="n">
        <v>0.1</v>
      </c>
      <c r="O46" t="inlineStr">
        <is>
          <t>Master Model G25 Grizzly XL_TwoAge_5a_6a_14b_15a_B09</t>
        </is>
      </c>
      <c r="P46" s="10" t="n">
        <v>784980</v>
      </c>
      <c r="Q46" s="10" t="n">
        <v>19</v>
      </c>
      <c r="S46" s="10">
        <f>ROUND(P46-H46,0)</f>
        <v/>
      </c>
      <c r="T46" s="10">
        <f>ROUND(Q46-S46,0)</f>
        <v/>
      </c>
      <c r="V46">
        <f>EXACT(B46,J46)</f>
        <v/>
      </c>
      <c r="W46">
        <f>EXACT(C46,K46)</f>
        <v/>
      </c>
      <c r="X46">
        <f>EXACT(D46,L46)</f>
        <v/>
      </c>
      <c r="Y46">
        <f>EXACT(E46,M46)</f>
        <v/>
      </c>
    </row>
    <row r="47">
      <c r="A47">
        <f>G47&amp;F47&amp;E47</f>
        <v/>
      </c>
      <c r="B47">
        <f>IF(ISNUMBER(SEARCH("G10",G47)),"G10","G25")</f>
        <v/>
      </c>
      <c r="C47">
        <f>IF(ISNUMBER(SEARCH("AllAge",G47)),"AllAge","TwoAge")</f>
        <v/>
      </c>
      <c r="D47">
        <f>RIGHT(G47,3)</f>
        <v/>
      </c>
      <c r="E47" t="inlineStr">
        <is>
          <t>JAGS_Female_2000</t>
        </is>
      </c>
      <c r="F47" t="n">
        <v>0.1</v>
      </c>
      <c r="G47" t="inlineStr">
        <is>
          <t>Master Model G25 Grizzly XL Relapse_TwoAge_B10</t>
        </is>
      </c>
      <c r="H47" s="10" t="n">
        <v>784966</v>
      </c>
      <c r="J47">
        <f>IF(ISNUMBER(SEARCH("G10",O47)),"G10","G25")</f>
        <v/>
      </c>
      <c r="K47">
        <f>IF(ISNUMBER(SEARCH("AllAge",O47)),"AllAge","TwoAge")</f>
        <v/>
      </c>
      <c r="L47">
        <f>RIGHT(O47,3)</f>
        <v/>
      </c>
      <c r="M47" t="inlineStr">
        <is>
          <t>JAGS_Female_2000</t>
        </is>
      </c>
      <c r="N47" t="n">
        <v>0.1</v>
      </c>
      <c r="O47" t="inlineStr">
        <is>
          <t>Master Model G25 Grizzly XL_TwoAge_5a_6a_14b_15a_B10</t>
        </is>
      </c>
      <c r="P47" s="10" t="n">
        <v>784969</v>
      </c>
      <c r="Q47" s="10" t="n">
        <v>7</v>
      </c>
      <c r="S47" s="10">
        <f>ROUND(P47-H47,0)</f>
        <v/>
      </c>
      <c r="T47" s="10">
        <f>ROUND(Q47-S47,0)</f>
        <v/>
      </c>
      <c r="V47">
        <f>EXACT(B47,J47)</f>
        <v/>
      </c>
      <c r="W47">
        <f>EXACT(C47,K47)</f>
        <v/>
      </c>
      <c r="X47">
        <f>EXACT(D47,L47)</f>
        <v/>
      </c>
      <c r="Y47">
        <f>EXACT(E47,M47)</f>
        <v/>
      </c>
    </row>
    <row r="48">
      <c r="A48">
        <f>G48&amp;F48&amp;E48</f>
        <v/>
      </c>
      <c r="B48">
        <f>IF(ISNUMBER(SEARCH("G10",G48)),"G10","G25")</f>
        <v/>
      </c>
      <c r="C48">
        <f>IF(ISNUMBER(SEARCH("AllAge",G48)),"AllAge","TwoAge")</f>
        <v/>
      </c>
      <c r="D48">
        <f>RIGHT(G48,3)</f>
        <v/>
      </c>
      <c r="E48" t="inlineStr">
        <is>
          <t>JAGS_Female_2000</t>
        </is>
      </c>
      <c r="F48" t="n">
        <v>0.1</v>
      </c>
      <c r="G48" t="inlineStr">
        <is>
          <t>Master Model G25 Grizzly XL Relapse_TwoAge_B11</t>
        </is>
      </c>
      <c r="H48" s="10" t="n">
        <v>784963</v>
      </c>
      <c r="J48">
        <f>IF(ISNUMBER(SEARCH("G10",O48)),"G10","G25")</f>
        <v/>
      </c>
      <c r="K48">
        <f>IF(ISNUMBER(SEARCH("AllAge",O48)),"AllAge","TwoAge")</f>
        <v/>
      </c>
      <c r="L48">
        <f>RIGHT(O48,3)</f>
        <v/>
      </c>
      <c r="M48" t="inlineStr">
        <is>
          <t>JAGS_Female_2000</t>
        </is>
      </c>
      <c r="N48" t="n">
        <v>0.1</v>
      </c>
      <c r="O48" t="inlineStr">
        <is>
          <t>Master Model G25 Grizzly XL_TwoAge_5a_6a_14b_15a_B11</t>
        </is>
      </c>
      <c r="P48" s="10" t="n">
        <v>784963</v>
      </c>
      <c r="Q48" s="10" t="n">
        <v>2</v>
      </c>
      <c r="S48" s="10">
        <f>ROUND(P48-H48,0)</f>
        <v/>
      </c>
      <c r="T48" s="10">
        <f>ROUND(Q48-S48,0)</f>
        <v/>
      </c>
      <c r="V48">
        <f>EXACT(B48,J48)</f>
        <v/>
      </c>
      <c r="W48">
        <f>EXACT(C48,K48)</f>
        <v/>
      </c>
      <c r="X48">
        <f>EXACT(D48,L48)</f>
        <v/>
      </c>
      <c r="Y48">
        <f>EXACT(E48,M48)</f>
        <v/>
      </c>
    </row>
    <row r="49">
      <c r="A49">
        <f>G49&amp;F49&amp;E49</f>
        <v/>
      </c>
      <c r="B49">
        <f>IF(ISNUMBER(SEARCH("G10",G49)),"G10","G25")</f>
        <v/>
      </c>
      <c r="C49">
        <f>IF(ISNUMBER(SEARCH("AllAge",G49)),"AllAge","TwoAge")</f>
        <v/>
      </c>
      <c r="D49">
        <f>RIGHT(G49,3)</f>
        <v/>
      </c>
      <c r="E49" t="inlineStr">
        <is>
          <t>JAGS_Male_2000</t>
        </is>
      </c>
      <c r="F49" t="n">
        <v>0.05</v>
      </c>
      <c r="G49" t="inlineStr">
        <is>
          <t>Master Model G10 Grizzly XL Relapse_TwoAge_B01</t>
        </is>
      </c>
      <c r="H49" s="10" t="n">
        <v>681237</v>
      </c>
      <c r="J49">
        <f>IF(ISNUMBER(SEARCH("G10",O49)),"G10","G25")</f>
        <v/>
      </c>
      <c r="K49">
        <f>IF(ISNUMBER(SEARCH("AllAge",O49)),"AllAge","TwoAge")</f>
        <v/>
      </c>
      <c r="L49">
        <f>RIGHT(O49,3)</f>
        <v/>
      </c>
      <c r="M49" t="inlineStr">
        <is>
          <t>JAGS_Male_2000</t>
        </is>
      </c>
      <c r="N49" t="n">
        <v>0.05</v>
      </c>
      <c r="O49" t="inlineStr">
        <is>
          <t>Master Model G10 Grizzly XL_TwoAge_5a_6a_14b_15a_B01</t>
        </is>
      </c>
      <c r="P49" s="10" t="n">
        <v>681444</v>
      </c>
      <c r="Q49" s="10" t="n">
        <v>2679</v>
      </c>
      <c r="S49" s="10">
        <f>ROUND(P49-H49,0)</f>
        <v/>
      </c>
      <c r="T49" s="10">
        <f>ROUND(Q49-S49,0)</f>
        <v/>
      </c>
      <c r="V49">
        <f>EXACT(B49,J49)</f>
        <v/>
      </c>
      <c r="W49">
        <f>EXACT(C49,K49)</f>
        <v/>
      </c>
      <c r="X49">
        <f>EXACT(D49,L49)</f>
        <v/>
      </c>
      <c r="Y49">
        <f>EXACT(E49,M49)</f>
        <v/>
      </c>
    </row>
    <row r="50">
      <c r="A50">
        <f>G50&amp;F50&amp;E50</f>
        <v/>
      </c>
      <c r="B50">
        <f>IF(ISNUMBER(SEARCH("G10",G50)),"G10","G25")</f>
        <v/>
      </c>
      <c r="C50">
        <f>IF(ISNUMBER(SEARCH("AllAge",G50)),"AllAge","TwoAge")</f>
        <v/>
      </c>
      <c r="D50">
        <f>RIGHT(G50,3)</f>
        <v/>
      </c>
      <c r="E50" t="inlineStr">
        <is>
          <t>JAGS_Male_2000</t>
        </is>
      </c>
      <c r="F50" t="n">
        <v>0.05</v>
      </c>
      <c r="G50" t="inlineStr">
        <is>
          <t>Master Model G10 Grizzly XL Relapse_TwoAge_B02</t>
        </is>
      </c>
      <c r="H50" s="10" t="n">
        <v>680946</v>
      </c>
      <c r="J50">
        <f>IF(ISNUMBER(SEARCH("G10",O50)),"G10","G25")</f>
        <v/>
      </c>
      <c r="K50">
        <f>IF(ISNUMBER(SEARCH("AllAge",O50)),"AllAge","TwoAge")</f>
        <v/>
      </c>
      <c r="L50">
        <f>RIGHT(O50,3)</f>
        <v/>
      </c>
      <c r="M50" t="inlineStr">
        <is>
          <t>JAGS_Male_2000</t>
        </is>
      </c>
      <c r="N50" t="n">
        <v>0.05</v>
      </c>
      <c r="O50" t="inlineStr">
        <is>
          <t>Master Model G10 Grizzly XL_TwoAge_5a_6a_14b_15a_B02</t>
        </is>
      </c>
      <c r="P50" s="10" t="n">
        <v>681158</v>
      </c>
      <c r="Q50" s="10" t="n">
        <v>2392</v>
      </c>
      <c r="S50" s="10">
        <f>ROUND(P50-H50,0)</f>
        <v/>
      </c>
      <c r="T50" s="10">
        <f>ROUND(Q50-S50,0)</f>
        <v/>
      </c>
      <c r="V50">
        <f>EXACT(B50,J50)</f>
        <v/>
      </c>
      <c r="W50">
        <f>EXACT(C50,K50)</f>
        <v/>
      </c>
      <c r="X50">
        <f>EXACT(D50,L50)</f>
        <v/>
      </c>
      <c r="Y50">
        <f>EXACT(E50,M50)</f>
        <v/>
      </c>
    </row>
    <row r="51">
      <c r="A51">
        <f>G51&amp;F51&amp;E51</f>
        <v/>
      </c>
      <c r="B51">
        <f>IF(ISNUMBER(SEARCH("G10",G51)),"G10","G25")</f>
        <v/>
      </c>
      <c r="C51">
        <f>IF(ISNUMBER(SEARCH("AllAge",G51)),"AllAge","TwoAge")</f>
        <v/>
      </c>
      <c r="D51">
        <f>RIGHT(G51,3)</f>
        <v/>
      </c>
      <c r="E51" t="inlineStr">
        <is>
          <t>JAGS_Male_2000</t>
        </is>
      </c>
      <c r="F51" t="n">
        <v>0.05</v>
      </c>
      <c r="G51" t="inlineStr">
        <is>
          <t>Master Model G10 Grizzly XL Relapse_TwoAge_B03</t>
        </is>
      </c>
      <c r="H51" s="10" t="n">
        <v>680131</v>
      </c>
      <c r="J51">
        <f>IF(ISNUMBER(SEARCH("G10",O51)),"G10","G25")</f>
        <v/>
      </c>
      <c r="K51">
        <f>IF(ISNUMBER(SEARCH("AllAge",O51)),"AllAge","TwoAge")</f>
        <v/>
      </c>
      <c r="L51">
        <f>RIGHT(O51,3)</f>
        <v/>
      </c>
      <c r="M51" t="inlineStr">
        <is>
          <t>JAGS_Male_2000</t>
        </is>
      </c>
      <c r="N51" t="n">
        <v>0.05</v>
      </c>
      <c r="O51" t="inlineStr">
        <is>
          <t>Master Model G10 Grizzly XL_TwoAge_5a_6a_14b_15a_B03</t>
        </is>
      </c>
      <c r="P51" s="10" t="n">
        <v>680355</v>
      </c>
      <c r="Q51" s="10" t="n">
        <v>1590</v>
      </c>
      <c r="S51" s="10">
        <f>ROUND(P51-H51,0)</f>
        <v/>
      </c>
      <c r="T51" s="10">
        <f>ROUND(Q51-S51,0)</f>
        <v/>
      </c>
      <c r="V51">
        <f>EXACT(B51,J51)</f>
        <v/>
      </c>
      <c r="W51">
        <f>EXACT(C51,K51)</f>
        <v/>
      </c>
      <c r="X51">
        <f>EXACT(D51,L51)</f>
        <v/>
      </c>
      <c r="Y51">
        <f>EXACT(E51,M51)</f>
        <v/>
      </c>
    </row>
    <row r="52">
      <c r="A52">
        <f>G52&amp;F52&amp;E52</f>
        <v/>
      </c>
      <c r="B52">
        <f>IF(ISNUMBER(SEARCH("G10",G52)),"G10","G25")</f>
        <v/>
      </c>
      <c r="C52">
        <f>IF(ISNUMBER(SEARCH("AllAge",G52)),"AllAge","TwoAge")</f>
        <v/>
      </c>
      <c r="D52">
        <f>RIGHT(G52,3)</f>
        <v/>
      </c>
      <c r="E52" t="inlineStr">
        <is>
          <t>JAGS_Male_2000</t>
        </is>
      </c>
      <c r="F52" t="n">
        <v>0.05</v>
      </c>
      <c r="G52" t="inlineStr">
        <is>
          <t>Master Model G10 Grizzly XL Relapse_TwoAge_B04</t>
        </is>
      </c>
      <c r="H52" s="10" t="n">
        <v>679623</v>
      </c>
      <c r="J52">
        <f>IF(ISNUMBER(SEARCH("G10",O52)),"G10","G25")</f>
        <v/>
      </c>
      <c r="K52">
        <f>IF(ISNUMBER(SEARCH("AllAge",O52)),"AllAge","TwoAge")</f>
        <v/>
      </c>
      <c r="L52">
        <f>RIGHT(O52,3)</f>
        <v/>
      </c>
      <c r="M52" t="inlineStr">
        <is>
          <t>JAGS_Male_2000</t>
        </is>
      </c>
      <c r="N52" t="n">
        <v>0.05</v>
      </c>
      <c r="O52" t="inlineStr">
        <is>
          <t>Master Model G10 Grizzly XL_TwoAge_5a_6a_14b_15a_B04</t>
        </is>
      </c>
      <c r="P52" s="10" t="n">
        <v>679817</v>
      </c>
      <c r="Q52" s="10" t="n">
        <v>1052</v>
      </c>
      <c r="S52" s="10">
        <f>ROUND(P52-H52,0)</f>
        <v/>
      </c>
      <c r="T52" s="10">
        <f>ROUND(Q52-S52,0)</f>
        <v/>
      </c>
      <c r="V52">
        <f>EXACT(B52,J52)</f>
        <v/>
      </c>
      <c r="W52">
        <f>EXACT(C52,K52)</f>
        <v/>
      </c>
      <c r="X52">
        <f>EXACT(D52,L52)</f>
        <v/>
      </c>
      <c r="Y52">
        <f>EXACT(E52,M52)</f>
        <v/>
      </c>
    </row>
    <row r="53">
      <c r="A53">
        <f>G53&amp;F53&amp;E53</f>
        <v/>
      </c>
      <c r="B53">
        <f>IF(ISNUMBER(SEARCH("G10",G53)),"G10","G25")</f>
        <v/>
      </c>
      <c r="C53">
        <f>IF(ISNUMBER(SEARCH("AllAge",G53)),"AllAge","TwoAge")</f>
        <v/>
      </c>
      <c r="D53">
        <f>RIGHT(G53,3)</f>
        <v/>
      </c>
      <c r="E53" t="inlineStr">
        <is>
          <t>JAGS_Male_2000</t>
        </is>
      </c>
      <c r="F53" t="n">
        <v>0.05</v>
      </c>
      <c r="G53" t="inlineStr">
        <is>
          <t>Master Model G10 Grizzly XL Relapse_TwoAge_B05</t>
        </is>
      </c>
      <c r="H53" s="10" t="n">
        <v>679360</v>
      </c>
      <c r="J53">
        <f>IF(ISNUMBER(SEARCH("G10",O53)),"G10","G25")</f>
        <v/>
      </c>
      <c r="K53">
        <f>IF(ISNUMBER(SEARCH("AllAge",O53)),"AllAge","TwoAge")</f>
        <v/>
      </c>
      <c r="L53">
        <f>RIGHT(O53,3)</f>
        <v/>
      </c>
      <c r="M53" t="inlineStr">
        <is>
          <t>JAGS_Male_2000</t>
        </is>
      </c>
      <c r="N53" t="n">
        <v>0.05</v>
      </c>
      <c r="O53" t="inlineStr">
        <is>
          <t>Master Model G10 Grizzly XL_TwoAge_5a_6a_14b_15a_B05</t>
        </is>
      </c>
      <c r="P53" s="10" t="n">
        <v>679482</v>
      </c>
      <c r="Q53" s="10" t="n">
        <v>716</v>
      </c>
      <c r="S53" s="10">
        <f>ROUND(P53-H53,0)</f>
        <v/>
      </c>
      <c r="T53" s="10">
        <f>ROUND(Q53-S53,0)</f>
        <v/>
      </c>
      <c r="V53">
        <f>EXACT(B53,J53)</f>
        <v/>
      </c>
      <c r="W53">
        <f>EXACT(C53,K53)</f>
        <v/>
      </c>
      <c r="X53">
        <f>EXACT(D53,L53)</f>
        <v/>
      </c>
      <c r="Y53">
        <f>EXACT(E53,M53)</f>
        <v/>
      </c>
    </row>
    <row r="54">
      <c r="A54">
        <f>G54&amp;F54&amp;E54</f>
        <v/>
      </c>
      <c r="B54">
        <f>IF(ISNUMBER(SEARCH("G10",G54)),"G10","G25")</f>
        <v/>
      </c>
      <c r="C54">
        <f>IF(ISNUMBER(SEARCH("AllAge",G54)),"AllAge","TwoAge")</f>
        <v/>
      </c>
      <c r="D54">
        <f>RIGHT(G54,3)</f>
        <v/>
      </c>
      <c r="E54" t="inlineStr">
        <is>
          <t>JAGS_Male_2000</t>
        </is>
      </c>
      <c r="F54" t="n">
        <v>0.05</v>
      </c>
      <c r="G54" t="inlineStr">
        <is>
          <t>Master Model G10 Grizzly XL Relapse_TwoAge_B06</t>
        </is>
      </c>
      <c r="H54" s="10" t="n">
        <v>679156</v>
      </c>
      <c r="J54">
        <f>IF(ISNUMBER(SEARCH("G10",O54)),"G10","G25")</f>
        <v/>
      </c>
      <c r="K54">
        <f>IF(ISNUMBER(SEARCH("AllAge",O54)),"AllAge","TwoAge")</f>
        <v/>
      </c>
      <c r="L54">
        <f>RIGHT(O54,3)</f>
        <v/>
      </c>
      <c r="M54" t="inlineStr">
        <is>
          <t>JAGS_Male_2000</t>
        </is>
      </c>
      <c r="N54" t="n">
        <v>0.05</v>
      </c>
      <c r="O54" t="inlineStr">
        <is>
          <t>Master Model G10 Grizzly XL_TwoAge_5a_6a_14b_15a_B06</t>
        </is>
      </c>
      <c r="P54" s="10" t="n">
        <v>679248</v>
      </c>
      <c r="Q54" s="10" t="n">
        <v>483</v>
      </c>
      <c r="S54" s="10">
        <f>ROUND(P54-H54,0)</f>
        <v/>
      </c>
      <c r="T54" s="10">
        <f>ROUND(Q54-S54,0)</f>
        <v/>
      </c>
      <c r="V54">
        <f>EXACT(B54,J54)</f>
        <v/>
      </c>
      <c r="W54">
        <f>EXACT(C54,K54)</f>
        <v/>
      </c>
      <c r="X54">
        <f>EXACT(D54,L54)</f>
        <v/>
      </c>
      <c r="Y54">
        <f>EXACT(E54,M54)</f>
        <v/>
      </c>
    </row>
    <row r="55">
      <c r="A55">
        <f>G55&amp;F55&amp;E55</f>
        <v/>
      </c>
      <c r="B55">
        <f>IF(ISNUMBER(SEARCH("G10",G55)),"G10","G25")</f>
        <v/>
      </c>
      <c r="C55">
        <f>IF(ISNUMBER(SEARCH("AllAge",G55)),"AllAge","TwoAge")</f>
        <v/>
      </c>
      <c r="D55">
        <f>RIGHT(G55,3)</f>
        <v/>
      </c>
      <c r="E55" t="inlineStr">
        <is>
          <t>JAGS_Male_2000</t>
        </is>
      </c>
      <c r="F55" t="n">
        <v>0.05</v>
      </c>
      <c r="G55" t="inlineStr">
        <is>
          <t>Master Model G10 Grizzly XL Relapse_TwoAge_B07</t>
        </is>
      </c>
      <c r="H55" s="10" t="n">
        <v>678960</v>
      </c>
      <c r="J55">
        <f>IF(ISNUMBER(SEARCH("G10",O55)),"G10","G25")</f>
        <v/>
      </c>
      <c r="K55">
        <f>IF(ISNUMBER(SEARCH("AllAge",O55)),"AllAge","TwoAge")</f>
        <v/>
      </c>
      <c r="L55">
        <f>RIGHT(O55,3)</f>
        <v/>
      </c>
      <c r="M55" t="inlineStr">
        <is>
          <t>JAGS_Male_2000</t>
        </is>
      </c>
      <c r="N55" t="n">
        <v>0.05</v>
      </c>
      <c r="O55" t="inlineStr">
        <is>
          <t>Master Model G10 Grizzly XL_TwoAge_5a_6a_14b_15a_B07</t>
        </is>
      </c>
      <c r="P55" s="10" t="n">
        <v>679006</v>
      </c>
      <c r="Q55" s="10" t="n">
        <v>241</v>
      </c>
      <c r="S55" s="10">
        <f>ROUND(P55-H55,0)</f>
        <v/>
      </c>
      <c r="T55" s="10">
        <f>ROUND(Q55-S55,0)</f>
        <v/>
      </c>
      <c r="V55">
        <f>EXACT(B55,J55)</f>
        <v/>
      </c>
      <c r="W55">
        <f>EXACT(C55,K55)</f>
        <v/>
      </c>
      <c r="X55">
        <f>EXACT(D55,L55)</f>
        <v/>
      </c>
      <c r="Y55">
        <f>EXACT(E55,M55)</f>
        <v/>
      </c>
    </row>
    <row r="56">
      <c r="A56">
        <f>G56&amp;F56&amp;E56</f>
        <v/>
      </c>
      <c r="B56">
        <f>IF(ISNUMBER(SEARCH("G10",G56)),"G10","G25")</f>
        <v/>
      </c>
      <c r="C56">
        <f>IF(ISNUMBER(SEARCH("AllAge",G56)),"AllAge","TwoAge")</f>
        <v/>
      </c>
      <c r="D56">
        <f>RIGHT(G56,3)</f>
        <v/>
      </c>
      <c r="E56" t="inlineStr">
        <is>
          <t>JAGS_Male_2000</t>
        </is>
      </c>
      <c r="F56" t="n">
        <v>0.05</v>
      </c>
      <c r="G56" t="inlineStr">
        <is>
          <t>Master Model G10 Grizzly XL Relapse_TwoAge_B08</t>
        </is>
      </c>
      <c r="H56" s="10" t="n">
        <v>678833</v>
      </c>
      <c r="J56">
        <f>IF(ISNUMBER(SEARCH("G10",O56)),"G10","G25")</f>
        <v/>
      </c>
      <c r="K56">
        <f>IF(ISNUMBER(SEARCH("AllAge",O56)),"AllAge","TwoAge")</f>
        <v/>
      </c>
      <c r="L56">
        <f>RIGHT(O56,3)</f>
        <v/>
      </c>
      <c r="M56" t="inlineStr">
        <is>
          <t>JAGS_Male_2000</t>
        </is>
      </c>
      <c r="N56" t="n">
        <v>0.05</v>
      </c>
      <c r="O56" t="inlineStr">
        <is>
          <t>Master Model G10 Grizzly XL_TwoAge_5a_6a_14b_15a_B08</t>
        </is>
      </c>
      <c r="P56" s="10" t="n">
        <v>678845</v>
      </c>
      <c r="Q56" s="10" t="n">
        <v>80</v>
      </c>
      <c r="S56" s="10">
        <f>ROUND(P56-H56,0)</f>
        <v/>
      </c>
      <c r="T56" s="10">
        <f>ROUND(Q56-S56,0)</f>
        <v/>
      </c>
      <c r="V56">
        <f>EXACT(B56,J56)</f>
        <v/>
      </c>
      <c r="W56">
        <f>EXACT(C56,K56)</f>
        <v/>
      </c>
      <c r="X56">
        <f>EXACT(D56,L56)</f>
        <v/>
      </c>
      <c r="Y56">
        <f>EXACT(E56,M56)</f>
        <v/>
      </c>
    </row>
    <row r="57">
      <c r="A57">
        <f>G57&amp;F57&amp;E57</f>
        <v/>
      </c>
      <c r="B57">
        <f>IF(ISNUMBER(SEARCH("G10",G57)),"G10","G25")</f>
        <v/>
      </c>
      <c r="C57">
        <f>IF(ISNUMBER(SEARCH("AllAge",G57)),"AllAge","TwoAge")</f>
        <v/>
      </c>
      <c r="D57">
        <f>RIGHT(G57,3)</f>
        <v/>
      </c>
      <c r="E57" t="inlineStr">
        <is>
          <t>JAGS_Male_2000</t>
        </is>
      </c>
      <c r="F57" t="n">
        <v>0.05</v>
      </c>
      <c r="G57" t="inlineStr">
        <is>
          <t>Master Model G10 Grizzly XL Relapse_TwoAge_B09</t>
        </is>
      </c>
      <c r="H57" s="10" t="n">
        <v>678781</v>
      </c>
      <c r="J57">
        <f>IF(ISNUMBER(SEARCH("G10",O57)),"G10","G25")</f>
        <v/>
      </c>
      <c r="K57">
        <f>IF(ISNUMBER(SEARCH("AllAge",O57)),"AllAge","TwoAge")</f>
        <v/>
      </c>
      <c r="L57">
        <f>RIGHT(O57,3)</f>
        <v/>
      </c>
      <c r="M57" t="inlineStr">
        <is>
          <t>JAGS_Male_2000</t>
        </is>
      </c>
      <c r="N57" t="n">
        <v>0.05</v>
      </c>
      <c r="O57" t="inlineStr">
        <is>
          <t>Master Model G10 Grizzly XL_TwoAge_5a_6a_14b_15a_B09</t>
        </is>
      </c>
      <c r="P57" s="10" t="n">
        <v>678788</v>
      </c>
      <c r="Q57" s="10" t="n">
        <v>22</v>
      </c>
      <c r="S57" s="10">
        <f>ROUND(P57-H57,0)</f>
        <v/>
      </c>
      <c r="T57" s="10">
        <f>ROUND(Q57-S57,0)</f>
        <v/>
      </c>
      <c r="V57">
        <f>EXACT(B57,J57)</f>
        <v/>
      </c>
      <c r="W57">
        <f>EXACT(C57,K57)</f>
        <v/>
      </c>
      <c r="X57">
        <f>EXACT(D57,L57)</f>
        <v/>
      </c>
      <c r="Y57">
        <f>EXACT(E57,M57)</f>
        <v/>
      </c>
    </row>
    <row r="58">
      <c r="A58">
        <f>G58&amp;F58&amp;E58</f>
        <v/>
      </c>
      <c r="B58">
        <f>IF(ISNUMBER(SEARCH("G10",G58)),"G10","G25")</f>
        <v/>
      </c>
      <c r="C58">
        <f>IF(ISNUMBER(SEARCH("AllAge",G58)),"AllAge","TwoAge")</f>
        <v/>
      </c>
      <c r="D58">
        <f>RIGHT(G58,3)</f>
        <v/>
      </c>
      <c r="E58" t="inlineStr">
        <is>
          <t>JAGS_Male_2000</t>
        </is>
      </c>
      <c r="F58" t="n">
        <v>0.05</v>
      </c>
      <c r="G58" t="inlineStr">
        <is>
          <t>Master Model G10 Grizzly XL Relapse_TwoAge_B10</t>
        </is>
      </c>
      <c r="H58" s="10" t="n">
        <v>678771</v>
      </c>
      <c r="J58">
        <f>IF(ISNUMBER(SEARCH("G10",O58)),"G10","G25")</f>
        <v/>
      </c>
      <c r="K58">
        <f>IF(ISNUMBER(SEARCH("AllAge",O58)),"AllAge","TwoAge")</f>
        <v/>
      </c>
      <c r="L58">
        <f>RIGHT(O58,3)</f>
        <v/>
      </c>
      <c r="M58" t="inlineStr">
        <is>
          <t>JAGS_Male_2000</t>
        </is>
      </c>
      <c r="N58" t="n">
        <v>0.05</v>
      </c>
      <c r="O58" t="inlineStr">
        <is>
          <t>Master Model G10 Grizzly XL_TwoAge_5a_6a_14b_15a_B10</t>
        </is>
      </c>
      <c r="P58" s="10" t="n">
        <v>678774</v>
      </c>
      <c r="Q58" s="10" t="n">
        <v>9</v>
      </c>
      <c r="S58" s="10">
        <f>ROUND(P58-H58,0)</f>
        <v/>
      </c>
      <c r="T58" s="10">
        <f>ROUND(Q58-S58,0)</f>
        <v/>
      </c>
      <c r="V58">
        <f>EXACT(B58,J58)</f>
        <v/>
      </c>
      <c r="W58">
        <f>EXACT(C58,K58)</f>
        <v/>
      </c>
      <c r="X58">
        <f>EXACT(D58,L58)</f>
        <v/>
      </c>
      <c r="Y58">
        <f>EXACT(E58,M58)</f>
        <v/>
      </c>
    </row>
    <row r="59">
      <c r="A59">
        <f>G59&amp;F59&amp;E59</f>
        <v/>
      </c>
      <c r="B59">
        <f>IF(ISNUMBER(SEARCH("G10",G59)),"G10","G25")</f>
        <v/>
      </c>
      <c r="C59">
        <f>IF(ISNUMBER(SEARCH("AllAge",G59)),"AllAge","TwoAge")</f>
        <v/>
      </c>
      <c r="D59">
        <f>RIGHT(G59,3)</f>
        <v/>
      </c>
      <c r="E59" t="inlineStr">
        <is>
          <t>JAGS_Male_2000</t>
        </is>
      </c>
      <c r="F59" t="n">
        <v>0.05</v>
      </c>
      <c r="G59" t="inlineStr">
        <is>
          <t>Master Model G10 Grizzly XL Relapse_TwoAge_B11</t>
        </is>
      </c>
      <c r="H59" s="10" t="n">
        <v>678767</v>
      </c>
      <c r="J59">
        <f>IF(ISNUMBER(SEARCH("G10",O59)),"G10","G25")</f>
        <v/>
      </c>
      <c r="K59">
        <f>IF(ISNUMBER(SEARCH("AllAge",O59)),"AllAge","TwoAge")</f>
        <v/>
      </c>
      <c r="L59">
        <f>RIGHT(O59,3)</f>
        <v/>
      </c>
      <c r="M59" t="inlineStr">
        <is>
          <t>JAGS_Male_2000</t>
        </is>
      </c>
      <c r="N59" t="n">
        <v>0.05</v>
      </c>
      <c r="O59" t="inlineStr">
        <is>
          <t>Master Model G10 Grizzly XL_TwoAge_5a_6a_14b_15a_B11</t>
        </is>
      </c>
      <c r="P59" s="10" t="n">
        <v>678768</v>
      </c>
      <c r="Q59" s="10" t="n">
        <v>2</v>
      </c>
      <c r="S59" s="10">
        <f>ROUND(P59-H59,0)</f>
        <v/>
      </c>
      <c r="T59" s="10">
        <f>ROUND(Q59-S59,0)</f>
        <v/>
      </c>
      <c r="V59">
        <f>EXACT(B59,J59)</f>
        <v/>
      </c>
      <c r="W59">
        <f>EXACT(C59,K59)</f>
        <v/>
      </c>
      <c r="X59">
        <f>EXACT(D59,L59)</f>
        <v/>
      </c>
      <c r="Y59">
        <f>EXACT(E59,M59)</f>
        <v/>
      </c>
    </row>
    <row r="60">
      <c r="A60">
        <f>G60&amp;F60&amp;E60</f>
        <v/>
      </c>
      <c r="B60">
        <f>IF(ISNUMBER(SEARCH("G10",G60)),"G10","G25")</f>
        <v/>
      </c>
      <c r="C60">
        <f>IF(ISNUMBER(SEARCH("AllAge",G60)),"AllAge","TwoAge")</f>
        <v/>
      </c>
      <c r="D60">
        <f>RIGHT(G60,3)</f>
        <v/>
      </c>
      <c r="E60" t="inlineStr">
        <is>
          <t>JAGS_Male_2000</t>
        </is>
      </c>
      <c r="F60" t="n">
        <v>0.05</v>
      </c>
      <c r="G60" t="inlineStr">
        <is>
          <t>Master Model G25 Grizzly XL Relapse_TwoAge_B01</t>
        </is>
      </c>
      <c r="H60" s="10" t="n">
        <v>680818</v>
      </c>
      <c r="J60">
        <f>IF(ISNUMBER(SEARCH("G10",O60)),"G10","G25")</f>
        <v/>
      </c>
      <c r="K60">
        <f>IF(ISNUMBER(SEARCH("AllAge",O60)),"AllAge","TwoAge")</f>
        <v/>
      </c>
      <c r="L60">
        <f>RIGHT(O60,3)</f>
        <v/>
      </c>
      <c r="M60" t="inlineStr">
        <is>
          <t>JAGS_Male_2000</t>
        </is>
      </c>
      <c r="N60" t="n">
        <v>0.05</v>
      </c>
      <c r="O60" t="inlineStr">
        <is>
          <t>Master Model G25 Grizzly XL_TwoAge_5a_6a_14b_15a_B01</t>
        </is>
      </c>
      <c r="P60" s="10" t="n">
        <v>681025</v>
      </c>
      <c r="Q60" s="10" t="n">
        <v>2260</v>
      </c>
      <c r="S60" s="10">
        <f>ROUND(P60-H60,0)</f>
        <v/>
      </c>
      <c r="T60" s="10">
        <f>ROUND(Q60-S60,0)</f>
        <v/>
      </c>
      <c r="V60">
        <f>EXACT(B60,J60)</f>
        <v/>
      </c>
      <c r="W60">
        <f>EXACT(C60,K60)</f>
        <v/>
      </c>
      <c r="X60">
        <f>EXACT(D60,L60)</f>
        <v/>
      </c>
      <c r="Y60">
        <f>EXACT(E60,M60)</f>
        <v/>
      </c>
    </row>
    <row r="61">
      <c r="A61">
        <f>G61&amp;F61&amp;E61</f>
        <v/>
      </c>
      <c r="B61">
        <f>IF(ISNUMBER(SEARCH("G10",G61)),"G10","G25")</f>
        <v/>
      </c>
      <c r="C61">
        <f>IF(ISNUMBER(SEARCH("AllAge",G61)),"AllAge","TwoAge")</f>
        <v/>
      </c>
      <c r="D61">
        <f>RIGHT(G61,3)</f>
        <v/>
      </c>
      <c r="E61" t="inlineStr">
        <is>
          <t>JAGS_Male_2000</t>
        </is>
      </c>
      <c r="F61" t="n">
        <v>0.05</v>
      </c>
      <c r="G61" t="inlineStr">
        <is>
          <t>Master Model G25 Grizzly XL Relapse_TwoAge_B02</t>
        </is>
      </c>
      <c r="H61" s="10" t="n">
        <v>680638</v>
      </c>
      <c r="J61">
        <f>IF(ISNUMBER(SEARCH("G10",O61)),"G10","G25")</f>
        <v/>
      </c>
      <c r="K61">
        <f>IF(ISNUMBER(SEARCH("AllAge",O61)),"AllAge","TwoAge")</f>
        <v/>
      </c>
      <c r="L61">
        <f>RIGHT(O61,3)</f>
        <v/>
      </c>
      <c r="M61" t="inlineStr">
        <is>
          <t>JAGS_Male_2000</t>
        </is>
      </c>
      <c r="N61" t="n">
        <v>0.05</v>
      </c>
      <c r="O61" t="inlineStr">
        <is>
          <t>Master Model G25 Grizzly XL_TwoAge_5a_6a_14b_15a_B02</t>
        </is>
      </c>
      <c r="P61" s="10" t="n">
        <v>680850</v>
      </c>
      <c r="Q61" s="10" t="n">
        <v>2085</v>
      </c>
      <c r="S61" s="10">
        <f>ROUND(P61-H61,0)</f>
        <v/>
      </c>
      <c r="T61" s="10">
        <f>ROUND(Q61-S61,0)</f>
        <v/>
      </c>
      <c r="V61">
        <f>EXACT(B61,J61)</f>
        <v/>
      </c>
      <c r="W61">
        <f>EXACT(C61,K61)</f>
        <v/>
      </c>
      <c r="X61">
        <f>EXACT(D61,L61)</f>
        <v/>
      </c>
      <c r="Y61">
        <f>EXACT(E61,M61)</f>
        <v/>
      </c>
    </row>
    <row r="62">
      <c r="A62">
        <f>G62&amp;F62&amp;E62</f>
        <v/>
      </c>
      <c r="B62">
        <f>IF(ISNUMBER(SEARCH("G10",G62)),"G10","G25")</f>
        <v/>
      </c>
      <c r="C62">
        <f>IF(ISNUMBER(SEARCH("AllAge",G62)),"AllAge","TwoAge")</f>
        <v/>
      </c>
      <c r="D62">
        <f>RIGHT(G62,3)</f>
        <v/>
      </c>
      <c r="E62" t="inlineStr">
        <is>
          <t>JAGS_Male_2000</t>
        </is>
      </c>
      <c r="F62" t="n">
        <v>0.05</v>
      </c>
      <c r="G62" t="inlineStr">
        <is>
          <t>Master Model G25 Grizzly XL Relapse_TwoAge_B03</t>
        </is>
      </c>
      <c r="H62" s="10" t="n">
        <v>680019</v>
      </c>
      <c r="J62">
        <f>IF(ISNUMBER(SEARCH("G10",O62)),"G10","G25")</f>
        <v/>
      </c>
      <c r="K62">
        <f>IF(ISNUMBER(SEARCH("AllAge",O62)),"AllAge","TwoAge")</f>
        <v/>
      </c>
      <c r="L62">
        <f>RIGHT(O62,3)</f>
        <v/>
      </c>
      <c r="M62" t="inlineStr">
        <is>
          <t>JAGS_Male_2000</t>
        </is>
      </c>
      <c r="N62" t="n">
        <v>0.05</v>
      </c>
      <c r="O62" t="inlineStr">
        <is>
          <t>Master Model G25 Grizzly XL_TwoAge_5a_6a_14b_15a_B03</t>
        </is>
      </c>
      <c r="P62" s="10" t="n">
        <v>680244</v>
      </c>
      <c r="Q62" s="10" t="n">
        <v>1478</v>
      </c>
      <c r="S62" s="10">
        <f>ROUND(P62-H62,0)</f>
        <v/>
      </c>
      <c r="T62" s="10">
        <f>ROUND(Q62-S62,0)</f>
        <v/>
      </c>
      <c r="V62">
        <f>EXACT(B62,J62)</f>
        <v/>
      </c>
      <c r="W62">
        <f>EXACT(C62,K62)</f>
        <v/>
      </c>
      <c r="X62">
        <f>EXACT(D62,L62)</f>
        <v/>
      </c>
      <c r="Y62">
        <f>EXACT(E62,M62)</f>
        <v/>
      </c>
    </row>
    <row r="63">
      <c r="A63">
        <f>G63&amp;F63&amp;E63</f>
        <v/>
      </c>
      <c r="B63">
        <f>IF(ISNUMBER(SEARCH("G10",G63)),"G10","G25")</f>
        <v/>
      </c>
      <c r="C63">
        <f>IF(ISNUMBER(SEARCH("AllAge",G63)),"AllAge","TwoAge")</f>
        <v/>
      </c>
      <c r="D63">
        <f>RIGHT(G63,3)</f>
        <v/>
      </c>
      <c r="E63" t="inlineStr">
        <is>
          <t>JAGS_Male_2000</t>
        </is>
      </c>
      <c r="F63" t="n">
        <v>0.05</v>
      </c>
      <c r="G63" t="inlineStr">
        <is>
          <t>Master Model G25 Grizzly XL Relapse_TwoAge_B04</t>
        </is>
      </c>
      <c r="H63" s="10" t="n">
        <v>679623</v>
      </c>
      <c r="J63">
        <f>IF(ISNUMBER(SEARCH("G10",O63)),"G10","G25")</f>
        <v/>
      </c>
      <c r="K63">
        <f>IF(ISNUMBER(SEARCH("AllAge",O63)),"AllAge","TwoAge")</f>
        <v/>
      </c>
      <c r="L63">
        <f>RIGHT(O63,3)</f>
        <v/>
      </c>
      <c r="M63" t="inlineStr">
        <is>
          <t>JAGS_Male_2000</t>
        </is>
      </c>
      <c r="N63" t="n">
        <v>0.05</v>
      </c>
      <c r="O63" t="inlineStr">
        <is>
          <t>Master Model G25 Grizzly XL_TwoAge_5a_6a_14b_15a_B04</t>
        </is>
      </c>
      <c r="P63" s="10" t="n">
        <v>679817</v>
      </c>
      <c r="Q63" s="10" t="n">
        <v>1052</v>
      </c>
      <c r="S63" s="10">
        <f>ROUND(P63-H63,0)</f>
        <v/>
      </c>
      <c r="T63" s="10">
        <f>ROUND(Q63-S63,0)</f>
        <v/>
      </c>
      <c r="V63">
        <f>EXACT(B63,J63)</f>
        <v/>
      </c>
      <c r="W63">
        <f>EXACT(C63,K63)</f>
        <v/>
      </c>
      <c r="X63">
        <f>EXACT(D63,L63)</f>
        <v/>
      </c>
      <c r="Y63">
        <f>EXACT(E63,M63)</f>
        <v/>
      </c>
    </row>
    <row r="64">
      <c r="A64">
        <f>G64&amp;F64&amp;E64</f>
        <v/>
      </c>
      <c r="B64">
        <f>IF(ISNUMBER(SEARCH("G10",G64)),"G10","G25")</f>
        <v/>
      </c>
      <c r="C64">
        <f>IF(ISNUMBER(SEARCH("AllAge",G64)),"AllAge","TwoAge")</f>
        <v/>
      </c>
      <c r="D64">
        <f>RIGHT(G64,3)</f>
        <v/>
      </c>
      <c r="E64" t="inlineStr">
        <is>
          <t>JAGS_Male_2000</t>
        </is>
      </c>
      <c r="F64" t="n">
        <v>0.05</v>
      </c>
      <c r="G64" t="inlineStr">
        <is>
          <t>Master Model G25 Grizzly XL Relapse_TwoAge_B05</t>
        </is>
      </c>
      <c r="H64" s="10" t="n">
        <v>679360</v>
      </c>
      <c r="J64">
        <f>IF(ISNUMBER(SEARCH("G10",O64)),"G10","G25")</f>
        <v/>
      </c>
      <c r="K64">
        <f>IF(ISNUMBER(SEARCH("AllAge",O64)),"AllAge","TwoAge")</f>
        <v/>
      </c>
      <c r="L64">
        <f>RIGHT(O64,3)</f>
        <v/>
      </c>
      <c r="M64" t="inlineStr">
        <is>
          <t>JAGS_Male_2000</t>
        </is>
      </c>
      <c r="N64" t="n">
        <v>0.05</v>
      </c>
      <c r="O64" t="inlineStr">
        <is>
          <t>Master Model G25 Grizzly XL_TwoAge_5a_6a_14b_15a_B05</t>
        </is>
      </c>
      <c r="P64" s="10" t="n">
        <v>679482</v>
      </c>
      <c r="Q64" s="10" t="n">
        <v>716</v>
      </c>
      <c r="S64" s="10">
        <f>ROUND(P64-H64,0)</f>
        <v/>
      </c>
      <c r="T64" s="10">
        <f>ROUND(Q64-S64,0)</f>
        <v/>
      </c>
      <c r="V64">
        <f>EXACT(B64,J64)</f>
        <v/>
      </c>
      <c r="W64">
        <f>EXACT(C64,K64)</f>
        <v/>
      </c>
      <c r="X64">
        <f>EXACT(D64,L64)</f>
        <v/>
      </c>
      <c r="Y64">
        <f>EXACT(E64,M64)</f>
        <v/>
      </c>
    </row>
    <row r="65">
      <c r="A65">
        <f>G65&amp;F65&amp;E65</f>
        <v/>
      </c>
      <c r="B65">
        <f>IF(ISNUMBER(SEARCH("G10",G65)),"G10","G25")</f>
        <v/>
      </c>
      <c r="C65">
        <f>IF(ISNUMBER(SEARCH("AllAge",G65)),"AllAge","TwoAge")</f>
        <v/>
      </c>
      <c r="D65">
        <f>RIGHT(G65,3)</f>
        <v/>
      </c>
      <c r="E65" t="inlineStr">
        <is>
          <t>JAGS_Male_2000</t>
        </is>
      </c>
      <c r="F65" t="n">
        <v>0.05</v>
      </c>
      <c r="G65" t="inlineStr">
        <is>
          <t>Master Model G25 Grizzly XL Relapse_TwoAge_B06</t>
        </is>
      </c>
      <c r="H65" s="10" t="n">
        <v>679156</v>
      </c>
      <c r="J65">
        <f>IF(ISNUMBER(SEARCH("G10",O65)),"G10","G25")</f>
        <v/>
      </c>
      <c r="K65">
        <f>IF(ISNUMBER(SEARCH("AllAge",O65)),"AllAge","TwoAge")</f>
        <v/>
      </c>
      <c r="L65">
        <f>RIGHT(O65,3)</f>
        <v/>
      </c>
      <c r="M65" t="inlineStr">
        <is>
          <t>JAGS_Male_2000</t>
        </is>
      </c>
      <c r="N65" t="n">
        <v>0.05</v>
      </c>
      <c r="O65" t="inlineStr">
        <is>
          <t>Master Model G25 Grizzly XL_TwoAge_5a_6a_14b_15a_B06</t>
        </is>
      </c>
      <c r="P65" s="10" t="n">
        <v>679248</v>
      </c>
      <c r="Q65" s="10" t="n">
        <v>483</v>
      </c>
      <c r="S65" s="10">
        <f>ROUND(P65-H65,0)</f>
        <v/>
      </c>
      <c r="T65" s="10">
        <f>ROUND(Q65-S65,0)</f>
        <v/>
      </c>
      <c r="V65">
        <f>EXACT(B65,J65)</f>
        <v/>
      </c>
      <c r="W65">
        <f>EXACT(C65,K65)</f>
        <v/>
      </c>
      <c r="X65">
        <f>EXACT(D65,L65)</f>
        <v/>
      </c>
      <c r="Y65">
        <f>EXACT(E65,M65)</f>
        <v/>
      </c>
    </row>
    <row r="66">
      <c r="A66">
        <f>G66&amp;F66&amp;E66</f>
        <v/>
      </c>
      <c r="B66">
        <f>IF(ISNUMBER(SEARCH("G10",G66)),"G10","G25")</f>
        <v/>
      </c>
      <c r="C66">
        <f>IF(ISNUMBER(SEARCH("AllAge",G66)),"AllAge","TwoAge")</f>
        <v/>
      </c>
      <c r="D66">
        <f>RIGHT(G66,3)</f>
        <v/>
      </c>
      <c r="E66" t="inlineStr">
        <is>
          <t>JAGS_Male_2000</t>
        </is>
      </c>
      <c r="F66" t="n">
        <v>0.05</v>
      </c>
      <c r="G66" t="inlineStr">
        <is>
          <t>Master Model G25 Grizzly XL Relapse_TwoAge_B07</t>
        </is>
      </c>
      <c r="H66" s="10" t="n">
        <v>678960</v>
      </c>
      <c r="J66">
        <f>IF(ISNUMBER(SEARCH("G10",O66)),"G10","G25")</f>
        <v/>
      </c>
      <c r="K66">
        <f>IF(ISNUMBER(SEARCH("AllAge",O66)),"AllAge","TwoAge")</f>
        <v/>
      </c>
      <c r="L66">
        <f>RIGHT(O66,3)</f>
        <v/>
      </c>
      <c r="M66" t="inlineStr">
        <is>
          <t>JAGS_Male_2000</t>
        </is>
      </c>
      <c r="N66" t="n">
        <v>0.05</v>
      </c>
      <c r="O66" t="inlineStr">
        <is>
          <t>Master Model G25 Grizzly XL_TwoAge_5a_6a_14b_15a_B07</t>
        </is>
      </c>
      <c r="P66" s="10" t="n">
        <v>679006</v>
      </c>
      <c r="Q66" s="10" t="n">
        <v>241</v>
      </c>
      <c r="S66" s="10">
        <f>ROUND(P66-H66,0)</f>
        <v/>
      </c>
      <c r="T66" s="10">
        <f>ROUND(Q66-S66,0)</f>
        <v/>
      </c>
      <c r="V66">
        <f>EXACT(B66,J66)</f>
        <v/>
      </c>
      <c r="W66">
        <f>EXACT(C66,K66)</f>
        <v/>
      </c>
      <c r="X66">
        <f>EXACT(D66,L66)</f>
        <v/>
      </c>
      <c r="Y66">
        <f>EXACT(E66,M66)</f>
        <v/>
      </c>
    </row>
    <row r="67">
      <c r="A67">
        <f>G67&amp;F67&amp;E67</f>
        <v/>
      </c>
      <c r="B67">
        <f>IF(ISNUMBER(SEARCH("G10",G67)),"G10","G25")</f>
        <v/>
      </c>
      <c r="C67">
        <f>IF(ISNUMBER(SEARCH("AllAge",G67)),"AllAge","TwoAge")</f>
        <v/>
      </c>
      <c r="D67">
        <f>RIGHT(G67,3)</f>
        <v/>
      </c>
      <c r="E67" t="inlineStr">
        <is>
          <t>JAGS_Male_2000</t>
        </is>
      </c>
      <c r="F67" t="n">
        <v>0.05</v>
      </c>
      <c r="G67" t="inlineStr">
        <is>
          <t>Master Model G25 Grizzly XL Relapse_TwoAge_B08</t>
        </is>
      </c>
      <c r="H67" s="10" t="n">
        <v>678833</v>
      </c>
      <c r="J67">
        <f>IF(ISNUMBER(SEARCH("G10",O67)),"G10","G25")</f>
        <v/>
      </c>
      <c r="K67">
        <f>IF(ISNUMBER(SEARCH("AllAge",O67)),"AllAge","TwoAge")</f>
        <v/>
      </c>
      <c r="L67">
        <f>RIGHT(O67,3)</f>
        <v/>
      </c>
      <c r="M67" t="inlineStr">
        <is>
          <t>JAGS_Male_2000</t>
        </is>
      </c>
      <c r="N67" t="n">
        <v>0.05</v>
      </c>
      <c r="O67" t="inlineStr">
        <is>
          <t>Master Model G25 Grizzly XL_TwoAge_5a_6a_14b_15a_B08</t>
        </is>
      </c>
      <c r="P67" s="10" t="n">
        <v>678845</v>
      </c>
      <c r="Q67" s="10" t="n">
        <v>80</v>
      </c>
      <c r="S67" s="10">
        <f>ROUND(P67-H67,0)</f>
        <v/>
      </c>
      <c r="T67" s="10">
        <f>ROUND(Q67-S67,0)</f>
        <v/>
      </c>
      <c r="V67">
        <f>EXACT(B67,J67)</f>
        <v/>
      </c>
      <c r="W67">
        <f>EXACT(C67,K67)</f>
        <v/>
      </c>
      <c r="X67">
        <f>EXACT(D67,L67)</f>
        <v/>
      </c>
      <c r="Y67">
        <f>EXACT(E67,M67)</f>
        <v/>
      </c>
    </row>
    <row r="68">
      <c r="A68">
        <f>G68&amp;F68&amp;E68</f>
        <v/>
      </c>
      <c r="B68">
        <f>IF(ISNUMBER(SEARCH("G10",G68)),"G10","G25")</f>
        <v/>
      </c>
      <c r="C68">
        <f>IF(ISNUMBER(SEARCH("AllAge",G68)),"AllAge","TwoAge")</f>
        <v/>
      </c>
      <c r="D68">
        <f>RIGHT(G68,3)</f>
        <v/>
      </c>
      <c r="E68" t="inlineStr">
        <is>
          <t>JAGS_Male_2000</t>
        </is>
      </c>
      <c r="F68" t="n">
        <v>0.05</v>
      </c>
      <c r="G68" t="inlineStr">
        <is>
          <t>Master Model G25 Grizzly XL Relapse_TwoAge_B09</t>
        </is>
      </c>
      <c r="H68" s="10" t="n">
        <v>678781</v>
      </c>
      <c r="J68">
        <f>IF(ISNUMBER(SEARCH("G10",O68)),"G10","G25")</f>
        <v/>
      </c>
      <c r="K68">
        <f>IF(ISNUMBER(SEARCH("AllAge",O68)),"AllAge","TwoAge")</f>
        <v/>
      </c>
      <c r="L68">
        <f>RIGHT(O68,3)</f>
        <v/>
      </c>
      <c r="M68" t="inlineStr">
        <is>
          <t>JAGS_Male_2000</t>
        </is>
      </c>
      <c r="N68" t="n">
        <v>0.05</v>
      </c>
      <c r="O68" t="inlineStr">
        <is>
          <t>Master Model G25 Grizzly XL_TwoAge_5a_6a_14b_15a_B09</t>
        </is>
      </c>
      <c r="P68" s="10" t="n">
        <v>678788</v>
      </c>
      <c r="Q68" s="10" t="n">
        <v>22</v>
      </c>
      <c r="S68" s="10">
        <f>ROUND(P68-H68,0)</f>
        <v/>
      </c>
      <c r="T68" s="10">
        <f>ROUND(Q68-S68,0)</f>
        <v/>
      </c>
      <c r="V68">
        <f>EXACT(B68,J68)</f>
        <v/>
      </c>
      <c r="W68">
        <f>EXACT(C68,K68)</f>
        <v/>
      </c>
      <c r="X68">
        <f>EXACT(D68,L68)</f>
        <v/>
      </c>
      <c r="Y68">
        <f>EXACT(E68,M68)</f>
        <v/>
      </c>
    </row>
    <row r="69">
      <c r="A69">
        <f>G69&amp;F69&amp;E69</f>
        <v/>
      </c>
      <c r="B69">
        <f>IF(ISNUMBER(SEARCH("G10",G69)),"G10","G25")</f>
        <v/>
      </c>
      <c r="C69">
        <f>IF(ISNUMBER(SEARCH("AllAge",G69)),"AllAge","TwoAge")</f>
        <v/>
      </c>
      <c r="D69">
        <f>RIGHT(G69,3)</f>
        <v/>
      </c>
      <c r="E69" t="inlineStr">
        <is>
          <t>JAGS_Male_2000</t>
        </is>
      </c>
      <c r="F69" t="n">
        <v>0.05</v>
      </c>
      <c r="G69" t="inlineStr">
        <is>
          <t>Master Model G25 Grizzly XL Relapse_TwoAge_B10</t>
        </is>
      </c>
      <c r="H69" s="10" t="n">
        <v>678771</v>
      </c>
      <c r="J69">
        <f>IF(ISNUMBER(SEARCH("G10",O69)),"G10","G25")</f>
        <v/>
      </c>
      <c r="K69">
        <f>IF(ISNUMBER(SEARCH("AllAge",O69)),"AllAge","TwoAge")</f>
        <v/>
      </c>
      <c r="L69">
        <f>RIGHT(O69,3)</f>
        <v/>
      </c>
      <c r="M69" t="inlineStr">
        <is>
          <t>JAGS_Male_2000</t>
        </is>
      </c>
      <c r="N69" t="n">
        <v>0.05</v>
      </c>
      <c r="O69" t="inlineStr">
        <is>
          <t>Master Model G25 Grizzly XL_TwoAge_5a_6a_14b_15a_B10</t>
        </is>
      </c>
      <c r="P69" s="10" t="n">
        <v>678774</v>
      </c>
      <c r="Q69" s="10" t="n">
        <v>9</v>
      </c>
      <c r="S69" s="10">
        <f>ROUND(P69-H69,0)</f>
        <v/>
      </c>
      <c r="T69" s="10">
        <f>ROUND(Q69-S69,0)</f>
        <v/>
      </c>
      <c r="V69">
        <f>EXACT(B69,J69)</f>
        <v/>
      </c>
      <c r="W69">
        <f>EXACT(C69,K69)</f>
        <v/>
      </c>
      <c r="X69">
        <f>EXACT(D69,L69)</f>
        <v/>
      </c>
      <c r="Y69">
        <f>EXACT(E69,M69)</f>
        <v/>
      </c>
    </row>
    <row r="70">
      <c r="A70">
        <f>G70&amp;F70&amp;E70</f>
        <v/>
      </c>
      <c r="B70">
        <f>IF(ISNUMBER(SEARCH("G10",G70)),"G10","G25")</f>
        <v/>
      </c>
      <c r="C70">
        <f>IF(ISNUMBER(SEARCH("AllAge",G70)),"AllAge","TwoAge")</f>
        <v/>
      </c>
      <c r="D70">
        <f>RIGHT(G70,3)</f>
        <v/>
      </c>
      <c r="E70" t="inlineStr">
        <is>
          <t>JAGS_Male_2000</t>
        </is>
      </c>
      <c r="F70" t="n">
        <v>0.05</v>
      </c>
      <c r="G70" t="inlineStr">
        <is>
          <t>Master Model G25 Grizzly XL Relapse_TwoAge_B11</t>
        </is>
      </c>
      <c r="H70" s="10" t="n">
        <v>678767</v>
      </c>
      <c r="J70">
        <f>IF(ISNUMBER(SEARCH("G10",O70)),"G10","G25")</f>
        <v/>
      </c>
      <c r="K70">
        <f>IF(ISNUMBER(SEARCH("AllAge",O70)),"AllAge","TwoAge")</f>
        <v/>
      </c>
      <c r="L70">
        <f>RIGHT(O70,3)</f>
        <v/>
      </c>
      <c r="M70" t="inlineStr">
        <is>
          <t>JAGS_Male_2000</t>
        </is>
      </c>
      <c r="N70" t="n">
        <v>0.05</v>
      </c>
      <c r="O70" t="inlineStr">
        <is>
          <t>Master Model G25 Grizzly XL_TwoAge_5a_6a_14b_15a_B11</t>
        </is>
      </c>
      <c r="P70" s="10" t="n">
        <v>678768</v>
      </c>
      <c r="Q70" s="10" t="n">
        <v>2</v>
      </c>
      <c r="S70" s="10">
        <f>ROUND(P70-H70,0)</f>
        <v/>
      </c>
      <c r="T70" s="10">
        <f>ROUND(Q70-S70,0)</f>
        <v/>
      </c>
      <c r="V70">
        <f>EXACT(B70,J70)</f>
        <v/>
      </c>
      <c r="W70">
        <f>EXACT(C70,K70)</f>
        <v/>
      </c>
      <c r="X70">
        <f>EXACT(D70,L70)</f>
        <v/>
      </c>
      <c r="Y70">
        <f>EXACT(E70,M70)</f>
        <v/>
      </c>
    </row>
    <row r="71">
      <c r="A71">
        <f>G71&amp;F71&amp;E71</f>
        <v/>
      </c>
      <c r="B71">
        <f>IF(ISNUMBER(SEARCH("G10",G71)),"G10","G25")</f>
        <v/>
      </c>
      <c r="C71">
        <f>IF(ISNUMBER(SEARCH("AllAge",G71)),"AllAge","TwoAge")</f>
        <v/>
      </c>
      <c r="D71">
        <f>RIGHT(G71,3)</f>
        <v/>
      </c>
      <c r="E71" t="inlineStr">
        <is>
          <t>JAGS_Male_2000</t>
        </is>
      </c>
      <c r="F71" t="n">
        <v>0.1</v>
      </c>
      <c r="G71" t="inlineStr">
        <is>
          <t>Master Model G10 Grizzly XL Relapse_TwoAge_B01</t>
        </is>
      </c>
      <c r="H71" s="10" t="n">
        <v>680622</v>
      </c>
      <c r="J71">
        <f>IF(ISNUMBER(SEARCH("G10",O71)),"G10","G25")</f>
        <v/>
      </c>
      <c r="K71">
        <f>IF(ISNUMBER(SEARCH("AllAge",O71)),"AllAge","TwoAge")</f>
        <v/>
      </c>
      <c r="L71">
        <f>RIGHT(O71,3)</f>
        <v/>
      </c>
      <c r="M71" t="inlineStr">
        <is>
          <t>JAGS_Male_2000</t>
        </is>
      </c>
      <c r="N71" t="n">
        <v>0.1</v>
      </c>
      <c r="O71" t="inlineStr">
        <is>
          <t>Master Model G10 Grizzly XL_TwoAge_5a_6a_14b_15a_B01</t>
        </is>
      </c>
      <c r="P71" s="10" t="n">
        <v>680813</v>
      </c>
      <c r="Q71" s="10" t="n">
        <v>2047</v>
      </c>
      <c r="S71" s="10">
        <f>ROUND(P71-H71,0)</f>
        <v/>
      </c>
      <c r="T71" s="10">
        <f>ROUND(Q71-S71,0)</f>
        <v/>
      </c>
      <c r="V71">
        <f>EXACT(B71,J71)</f>
        <v/>
      </c>
      <c r="W71">
        <f>EXACT(C71,K71)</f>
        <v/>
      </c>
      <c r="X71">
        <f>EXACT(D71,L71)</f>
        <v/>
      </c>
      <c r="Y71">
        <f>EXACT(E71,M71)</f>
        <v/>
      </c>
    </row>
    <row r="72">
      <c r="A72">
        <f>G72&amp;F72&amp;E72</f>
        <v/>
      </c>
      <c r="B72">
        <f>IF(ISNUMBER(SEARCH("G10",G72)),"G10","G25")</f>
        <v/>
      </c>
      <c r="C72">
        <f>IF(ISNUMBER(SEARCH("AllAge",G72)),"AllAge","TwoAge")</f>
        <v/>
      </c>
      <c r="D72">
        <f>RIGHT(G72,3)</f>
        <v/>
      </c>
      <c r="E72" t="inlineStr">
        <is>
          <t>JAGS_Male_2000</t>
        </is>
      </c>
      <c r="F72" t="n">
        <v>0.1</v>
      </c>
      <c r="G72" t="inlineStr">
        <is>
          <t>Master Model G10 Grizzly XL Relapse_TwoAge_B02</t>
        </is>
      </c>
      <c r="H72" s="10" t="n">
        <v>680477</v>
      </c>
      <c r="J72">
        <f>IF(ISNUMBER(SEARCH("G10",O72)),"G10","G25")</f>
        <v/>
      </c>
      <c r="K72">
        <f>IF(ISNUMBER(SEARCH("AllAge",O72)),"AllAge","TwoAge")</f>
        <v/>
      </c>
      <c r="L72">
        <f>RIGHT(O72,3)</f>
        <v/>
      </c>
      <c r="M72" t="inlineStr">
        <is>
          <t>JAGS_Male_2000</t>
        </is>
      </c>
      <c r="N72" t="n">
        <v>0.1</v>
      </c>
      <c r="O72" t="inlineStr">
        <is>
          <t>Master Model G10 Grizzly XL_TwoAge_5a_6a_14b_15a_B02</t>
        </is>
      </c>
      <c r="P72" s="10" t="n">
        <v>680674</v>
      </c>
      <c r="Q72" s="10" t="n">
        <v>1908</v>
      </c>
      <c r="S72" s="10">
        <f>ROUND(P72-H72,0)</f>
        <v/>
      </c>
      <c r="T72" s="10">
        <f>ROUND(Q72-S72,0)</f>
        <v/>
      </c>
      <c r="V72">
        <f>EXACT(B72,J72)</f>
        <v/>
      </c>
      <c r="W72">
        <f>EXACT(C72,K72)</f>
        <v/>
      </c>
      <c r="X72">
        <f>EXACT(D72,L72)</f>
        <v/>
      </c>
      <c r="Y72">
        <f>EXACT(E72,M72)</f>
        <v/>
      </c>
    </row>
    <row r="73">
      <c r="A73">
        <f>G73&amp;F73&amp;E73</f>
        <v/>
      </c>
      <c r="B73">
        <f>IF(ISNUMBER(SEARCH("G10",G73)),"G10","G25")</f>
        <v/>
      </c>
      <c r="C73">
        <f>IF(ISNUMBER(SEARCH("AllAge",G73)),"AllAge","TwoAge")</f>
        <v/>
      </c>
      <c r="D73">
        <f>RIGHT(G73,3)</f>
        <v/>
      </c>
      <c r="E73" t="inlineStr">
        <is>
          <t>JAGS_Male_2000</t>
        </is>
      </c>
      <c r="F73" t="n">
        <v>0.1</v>
      </c>
      <c r="G73" t="inlineStr">
        <is>
          <t>Master Model G10 Grizzly XL Relapse_TwoAge_B03</t>
        </is>
      </c>
      <c r="H73" s="10" t="n">
        <v>679895</v>
      </c>
      <c r="J73">
        <f>IF(ISNUMBER(SEARCH("G10",O73)),"G10","G25")</f>
        <v/>
      </c>
      <c r="K73">
        <f>IF(ISNUMBER(SEARCH("AllAge",O73)),"AllAge","TwoAge")</f>
        <v/>
      </c>
      <c r="L73">
        <f>RIGHT(O73,3)</f>
        <v/>
      </c>
      <c r="M73" t="inlineStr">
        <is>
          <t>JAGS_Male_2000</t>
        </is>
      </c>
      <c r="N73" t="n">
        <v>0.1</v>
      </c>
      <c r="O73" t="inlineStr">
        <is>
          <t>Master Model G10 Grizzly XL_TwoAge_5a_6a_14b_15a_B03</t>
        </is>
      </c>
      <c r="P73" s="10" t="n">
        <v>680103</v>
      </c>
      <c r="Q73" s="10" t="n">
        <v>1337</v>
      </c>
      <c r="S73" s="10">
        <f>ROUND(P73-H73,0)</f>
        <v/>
      </c>
      <c r="T73" s="10">
        <f>ROUND(Q73-S73,0)</f>
        <v/>
      </c>
      <c r="V73">
        <f>EXACT(B73,J73)</f>
        <v/>
      </c>
      <c r="W73">
        <f>EXACT(C73,K73)</f>
        <v/>
      </c>
      <c r="X73">
        <f>EXACT(D73,L73)</f>
        <v/>
      </c>
      <c r="Y73">
        <f>EXACT(E73,M73)</f>
        <v/>
      </c>
    </row>
    <row r="74">
      <c r="A74">
        <f>G74&amp;F74&amp;E74</f>
        <v/>
      </c>
      <c r="B74">
        <f>IF(ISNUMBER(SEARCH("G10",G74)),"G10","G25")</f>
        <v/>
      </c>
      <c r="C74">
        <f>IF(ISNUMBER(SEARCH("AllAge",G74)),"AllAge","TwoAge")</f>
        <v/>
      </c>
      <c r="D74">
        <f>RIGHT(G74,3)</f>
        <v/>
      </c>
      <c r="E74" t="inlineStr">
        <is>
          <t>JAGS_Male_2000</t>
        </is>
      </c>
      <c r="F74" t="n">
        <v>0.1</v>
      </c>
      <c r="G74" t="inlineStr">
        <is>
          <t>Master Model G10 Grizzly XL Relapse_TwoAge_B04</t>
        </is>
      </c>
      <c r="H74" s="10" t="n">
        <v>679533</v>
      </c>
      <c r="J74">
        <f>IF(ISNUMBER(SEARCH("G10",O74)),"G10","G25")</f>
        <v/>
      </c>
      <c r="K74">
        <f>IF(ISNUMBER(SEARCH("AllAge",O74)),"AllAge","TwoAge")</f>
        <v/>
      </c>
      <c r="L74">
        <f>RIGHT(O74,3)</f>
        <v/>
      </c>
      <c r="M74" t="inlineStr">
        <is>
          <t>JAGS_Male_2000</t>
        </is>
      </c>
      <c r="N74" t="n">
        <v>0.1</v>
      </c>
      <c r="O74" t="inlineStr">
        <is>
          <t>Master Model G10 Grizzly XL_TwoAge_5a_6a_14b_15a_B04</t>
        </is>
      </c>
      <c r="P74" s="10" t="n">
        <v>679713</v>
      </c>
      <c r="Q74" s="10" t="n">
        <v>948</v>
      </c>
      <c r="S74" s="10">
        <f>ROUND(P74-H74,0)</f>
        <v/>
      </c>
      <c r="T74" s="10">
        <f>ROUND(Q74-S74,0)</f>
        <v/>
      </c>
      <c r="V74">
        <f>EXACT(B74,J74)</f>
        <v/>
      </c>
      <c r="W74">
        <f>EXACT(C74,K74)</f>
        <v/>
      </c>
      <c r="X74">
        <f>EXACT(D74,L74)</f>
        <v/>
      </c>
      <c r="Y74">
        <f>EXACT(E74,M74)</f>
        <v/>
      </c>
    </row>
    <row r="75">
      <c r="A75">
        <f>G75&amp;F75&amp;E75</f>
        <v/>
      </c>
      <c r="B75">
        <f>IF(ISNUMBER(SEARCH("G10",G75)),"G10","G25")</f>
        <v/>
      </c>
      <c r="C75">
        <f>IF(ISNUMBER(SEARCH("AllAge",G75)),"AllAge","TwoAge")</f>
        <v/>
      </c>
      <c r="D75">
        <f>RIGHT(G75,3)</f>
        <v/>
      </c>
      <c r="E75" t="inlineStr">
        <is>
          <t>JAGS_Male_2000</t>
        </is>
      </c>
      <c r="F75" t="n">
        <v>0.1</v>
      </c>
      <c r="G75" t="inlineStr">
        <is>
          <t>Master Model G10 Grizzly XL Relapse_TwoAge_B05</t>
        </is>
      </c>
      <c r="H75" s="10" t="n">
        <v>679301</v>
      </c>
      <c r="J75">
        <f>IF(ISNUMBER(SEARCH("G10",O75)),"G10","G25")</f>
        <v/>
      </c>
      <c r="K75">
        <f>IF(ISNUMBER(SEARCH("AllAge",O75)),"AllAge","TwoAge")</f>
        <v/>
      </c>
      <c r="L75">
        <f>RIGHT(O75,3)</f>
        <v/>
      </c>
      <c r="M75" t="inlineStr">
        <is>
          <t>JAGS_Male_2000</t>
        </is>
      </c>
      <c r="N75" t="n">
        <v>0.1</v>
      </c>
      <c r="O75" t="inlineStr">
        <is>
          <t>Master Model G10 Grizzly XL_TwoAge_5a_6a_14b_15a_B05</t>
        </is>
      </c>
      <c r="P75" s="10" t="n">
        <v>679415</v>
      </c>
      <c r="Q75" s="10" t="n">
        <v>650</v>
      </c>
      <c r="S75" s="10">
        <f>ROUND(P75-H75,0)</f>
        <v/>
      </c>
      <c r="T75" s="10">
        <f>ROUND(Q75-S75,0)</f>
        <v/>
      </c>
      <c r="V75">
        <f>EXACT(B75,J75)</f>
        <v/>
      </c>
      <c r="W75">
        <f>EXACT(C75,K75)</f>
        <v/>
      </c>
      <c r="X75">
        <f>EXACT(D75,L75)</f>
        <v/>
      </c>
      <c r="Y75">
        <f>EXACT(E75,M75)</f>
        <v/>
      </c>
    </row>
    <row r="76">
      <c r="A76">
        <f>G76&amp;F76&amp;E76</f>
        <v/>
      </c>
      <c r="B76">
        <f>IF(ISNUMBER(SEARCH("G10",G76)),"G10","G25")</f>
        <v/>
      </c>
      <c r="C76">
        <f>IF(ISNUMBER(SEARCH("AllAge",G76)),"AllAge","TwoAge")</f>
        <v/>
      </c>
      <c r="D76">
        <f>RIGHT(G76,3)</f>
        <v/>
      </c>
      <c r="E76" t="inlineStr">
        <is>
          <t>JAGS_Male_2000</t>
        </is>
      </c>
      <c r="F76" t="n">
        <v>0.1</v>
      </c>
      <c r="G76" t="inlineStr">
        <is>
          <t>Master Model G10 Grizzly XL Relapse_TwoAge_B06</t>
        </is>
      </c>
      <c r="H76" s="10" t="n">
        <v>679118</v>
      </c>
      <c r="J76">
        <f>IF(ISNUMBER(SEARCH("G10",O76)),"G10","G25")</f>
        <v/>
      </c>
      <c r="K76">
        <f>IF(ISNUMBER(SEARCH("AllAge",O76)),"AllAge","TwoAge")</f>
        <v/>
      </c>
      <c r="L76">
        <f>RIGHT(O76,3)</f>
        <v/>
      </c>
      <c r="M76" t="inlineStr">
        <is>
          <t>JAGS_Male_2000</t>
        </is>
      </c>
      <c r="N76" t="n">
        <v>0.1</v>
      </c>
      <c r="O76" t="inlineStr">
        <is>
          <t>Master Model G10 Grizzly XL_TwoAge_5a_6a_14b_15a_B06</t>
        </is>
      </c>
      <c r="P76" s="10" t="n">
        <v>679204</v>
      </c>
      <c r="Q76" s="10" t="n">
        <v>439</v>
      </c>
      <c r="S76" s="10">
        <f>ROUND(P76-H76,0)</f>
        <v/>
      </c>
      <c r="T76" s="10">
        <f>ROUND(Q76-S76,0)</f>
        <v/>
      </c>
      <c r="V76">
        <f>EXACT(B76,J76)</f>
        <v/>
      </c>
      <c r="W76">
        <f>EXACT(C76,K76)</f>
        <v/>
      </c>
      <c r="X76">
        <f>EXACT(D76,L76)</f>
        <v/>
      </c>
      <c r="Y76">
        <f>EXACT(E76,M76)</f>
        <v/>
      </c>
    </row>
    <row r="77">
      <c r="A77">
        <f>G77&amp;F77&amp;E77</f>
        <v/>
      </c>
      <c r="B77">
        <f>IF(ISNUMBER(SEARCH("G10",G77)),"G10","G25")</f>
        <v/>
      </c>
      <c r="C77">
        <f>IF(ISNUMBER(SEARCH("AllAge",G77)),"AllAge","TwoAge")</f>
        <v/>
      </c>
      <c r="D77">
        <f>RIGHT(G77,3)</f>
        <v/>
      </c>
      <c r="E77" t="inlineStr">
        <is>
          <t>JAGS_Male_2000</t>
        </is>
      </c>
      <c r="F77" t="n">
        <v>0.1</v>
      </c>
      <c r="G77" t="inlineStr">
        <is>
          <t>Master Model G10 Grizzly XL Relapse_TwoAge_B07</t>
        </is>
      </c>
      <c r="H77" s="10" t="n">
        <v>678941</v>
      </c>
      <c r="J77">
        <f>IF(ISNUMBER(SEARCH("G10",O77)),"G10","G25")</f>
        <v/>
      </c>
      <c r="K77">
        <f>IF(ISNUMBER(SEARCH("AllAge",O77)),"AllAge","TwoAge")</f>
        <v/>
      </c>
      <c r="L77">
        <f>RIGHT(O77,3)</f>
        <v/>
      </c>
      <c r="M77" t="inlineStr">
        <is>
          <t>JAGS_Male_2000</t>
        </is>
      </c>
      <c r="N77" t="n">
        <v>0.1</v>
      </c>
      <c r="O77" t="inlineStr">
        <is>
          <t>Master Model G10 Grizzly XL_TwoAge_5a_6a_14b_15a_B07</t>
        </is>
      </c>
      <c r="P77" s="10" t="n">
        <v>678985</v>
      </c>
      <c r="Q77" s="10" t="n">
        <v>220</v>
      </c>
      <c r="S77" s="10">
        <f>ROUND(P77-H77,0)</f>
        <v/>
      </c>
      <c r="T77" s="10">
        <f>ROUND(Q77-S77,0)</f>
        <v/>
      </c>
      <c r="V77">
        <f>EXACT(B77,J77)</f>
        <v/>
      </c>
      <c r="W77">
        <f>EXACT(C77,K77)</f>
        <v/>
      </c>
      <c r="X77">
        <f>EXACT(D77,L77)</f>
        <v/>
      </c>
      <c r="Y77">
        <f>EXACT(E77,M77)</f>
        <v/>
      </c>
    </row>
    <row r="78">
      <c r="A78">
        <f>G78&amp;F78&amp;E78</f>
        <v/>
      </c>
      <c r="B78">
        <f>IF(ISNUMBER(SEARCH("G10",G78)),"G10","G25")</f>
        <v/>
      </c>
      <c r="C78">
        <f>IF(ISNUMBER(SEARCH("AllAge",G78)),"AllAge","TwoAge")</f>
        <v/>
      </c>
      <c r="D78">
        <f>RIGHT(G78,3)</f>
        <v/>
      </c>
      <c r="E78" t="inlineStr">
        <is>
          <t>JAGS_Male_2000</t>
        </is>
      </c>
      <c r="F78" t="n">
        <v>0.1</v>
      </c>
      <c r="G78" t="inlineStr">
        <is>
          <t>Master Model G10 Grizzly XL Relapse_TwoAge_B08</t>
        </is>
      </c>
      <c r="H78" s="10" t="n">
        <v>678828</v>
      </c>
      <c r="J78">
        <f>IF(ISNUMBER(SEARCH("G10",O78)),"G10","G25")</f>
        <v/>
      </c>
      <c r="K78">
        <f>IF(ISNUMBER(SEARCH("AllAge",O78)),"AllAge","TwoAge")</f>
        <v/>
      </c>
      <c r="L78">
        <f>RIGHT(O78,3)</f>
        <v/>
      </c>
      <c r="M78" t="inlineStr">
        <is>
          <t>JAGS_Male_2000</t>
        </is>
      </c>
      <c r="N78" t="n">
        <v>0.1</v>
      </c>
      <c r="O78" t="inlineStr">
        <is>
          <t>Master Model G10 Grizzly XL_TwoAge_5a_6a_14b_15a_B08</t>
        </is>
      </c>
      <c r="P78" s="10" t="n">
        <v>678839</v>
      </c>
      <c r="Q78" s="10" t="n">
        <v>73</v>
      </c>
      <c r="S78" s="10">
        <f>ROUND(P78-H78,0)</f>
        <v/>
      </c>
      <c r="T78" s="10">
        <f>ROUND(Q78-S78,0)</f>
        <v/>
      </c>
      <c r="V78">
        <f>EXACT(B78,J78)</f>
        <v/>
      </c>
      <c r="W78">
        <f>EXACT(C78,K78)</f>
        <v/>
      </c>
      <c r="X78">
        <f>EXACT(D78,L78)</f>
        <v/>
      </c>
      <c r="Y78">
        <f>EXACT(E78,M78)</f>
        <v/>
      </c>
    </row>
    <row r="79">
      <c r="A79">
        <f>G79&amp;F79&amp;E79</f>
        <v/>
      </c>
      <c r="B79">
        <f>IF(ISNUMBER(SEARCH("G10",G79)),"G10","G25")</f>
        <v/>
      </c>
      <c r="C79">
        <f>IF(ISNUMBER(SEARCH("AllAge",G79)),"AllAge","TwoAge")</f>
        <v/>
      </c>
      <c r="D79">
        <f>RIGHT(G79,3)</f>
        <v/>
      </c>
      <c r="E79" t="inlineStr">
        <is>
          <t>JAGS_Male_2000</t>
        </is>
      </c>
      <c r="F79" t="n">
        <v>0.1</v>
      </c>
      <c r="G79" t="inlineStr">
        <is>
          <t>Master Model G10 Grizzly XL Relapse_TwoAge_B09</t>
        </is>
      </c>
      <c r="H79" s="10" t="n">
        <v>678779</v>
      </c>
      <c r="J79">
        <f>IF(ISNUMBER(SEARCH("G10",O79)),"G10","G25")</f>
        <v/>
      </c>
      <c r="K79">
        <f>IF(ISNUMBER(SEARCH("AllAge",O79)),"AllAge","TwoAge")</f>
        <v/>
      </c>
      <c r="L79">
        <f>RIGHT(O79,3)</f>
        <v/>
      </c>
      <c r="M79" t="inlineStr">
        <is>
          <t>JAGS_Male_2000</t>
        </is>
      </c>
      <c r="N79" t="n">
        <v>0.1</v>
      </c>
      <c r="O79" t="inlineStr">
        <is>
          <t>Master Model G10 Grizzly XL_TwoAge_5a_6a_14b_15a_B09</t>
        </is>
      </c>
      <c r="P79" s="10" t="n">
        <v>678786</v>
      </c>
      <c r="Q79" s="10" t="n">
        <v>20</v>
      </c>
      <c r="S79" s="10">
        <f>ROUND(P79-H79,0)</f>
        <v/>
      </c>
      <c r="T79" s="10">
        <f>ROUND(Q79-S79,0)</f>
        <v/>
      </c>
      <c r="V79">
        <f>EXACT(B79,J79)</f>
        <v/>
      </c>
      <c r="W79">
        <f>EXACT(C79,K79)</f>
        <v/>
      </c>
      <c r="X79">
        <f>EXACT(D79,L79)</f>
        <v/>
      </c>
      <c r="Y79">
        <f>EXACT(E79,M79)</f>
        <v/>
      </c>
    </row>
    <row r="80">
      <c r="A80">
        <f>G80&amp;F80&amp;E80</f>
        <v/>
      </c>
      <c r="B80">
        <f>IF(ISNUMBER(SEARCH("G10",G80)),"G10","G25")</f>
        <v/>
      </c>
      <c r="C80">
        <f>IF(ISNUMBER(SEARCH("AllAge",G80)),"AllAge","TwoAge")</f>
        <v/>
      </c>
      <c r="D80">
        <f>RIGHT(G80,3)</f>
        <v/>
      </c>
      <c r="E80" t="inlineStr">
        <is>
          <t>JAGS_Male_2000</t>
        </is>
      </c>
      <c r="F80" t="n">
        <v>0.1</v>
      </c>
      <c r="G80" t="inlineStr">
        <is>
          <t>Master Model G10 Grizzly XL Relapse_TwoAge_B10</t>
        </is>
      </c>
      <c r="H80" s="10" t="n">
        <v>678770</v>
      </c>
      <c r="J80">
        <f>IF(ISNUMBER(SEARCH("G10",O80)),"G10","G25")</f>
        <v/>
      </c>
      <c r="K80">
        <f>IF(ISNUMBER(SEARCH("AllAge",O80)),"AllAge","TwoAge")</f>
        <v/>
      </c>
      <c r="L80">
        <f>RIGHT(O80,3)</f>
        <v/>
      </c>
      <c r="M80" t="inlineStr">
        <is>
          <t>JAGS_Male_2000</t>
        </is>
      </c>
      <c r="N80" t="n">
        <v>0.1</v>
      </c>
      <c r="O80" t="inlineStr">
        <is>
          <t>Master Model G10 Grizzly XL_TwoAge_5a_6a_14b_15a_B10</t>
        </is>
      </c>
      <c r="P80" s="10" t="n">
        <v>678773</v>
      </c>
      <c r="Q80" s="10" t="n">
        <v>8</v>
      </c>
      <c r="S80" s="10">
        <f>ROUND(P80-H80,0)</f>
        <v/>
      </c>
      <c r="T80" s="10">
        <f>ROUND(Q80-S80,0)</f>
        <v/>
      </c>
      <c r="V80">
        <f>EXACT(B80,J80)</f>
        <v/>
      </c>
      <c r="W80">
        <f>EXACT(C80,K80)</f>
        <v/>
      </c>
      <c r="X80">
        <f>EXACT(D80,L80)</f>
        <v/>
      </c>
      <c r="Y80">
        <f>EXACT(E80,M80)</f>
        <v/>
      </c>
    </row>
    <row r="81">
      <c r="A81">
        <f>G81&amp;F81&amp;E81</f>
        <v/>
      </c>
      <c r="B81">
        <f>IF(ISNUMBER(SEARCH("G10",G81)),"G10","G25")</f>
        <v/>
      </c>
      <c r="C81">
        <f>IF(ISNUMBER(SEARCH("AllAge",G81)),"AllAge","TwoAge")</f>
        <v/>
      </c>
      <c r="D81">
        <f>RIGHT(G81,3)</f>
        <v/>
      </c>
      <c r="E81" t="inlineStr">
        <is>
          <t>JAGS_Male_2000</t>
        </is>
      </c>
      <c r="F81" t="n">
        <v>0.1</v>
      </c>
      <c r="G81" t="inlineStr">
        <is>
          <t>Master Model G10 Grizzly XL Relapse_TwoAge_B11</t>
        </is>
      </c>
      <c r="H81" s="10" t="n">
        <v>678767</v>
      </c>
      <c r="J81">
        <f>IF(ISNUMBER(SEARCH("G10",O81)),"G10","G25")</f>
        <v/>
      </c>
      <c r="K81">
        <f>IF(ISNUMBER(SEARCH("AllAge",O81)),"AllAge","TwoAge")</f>
        <v/>
      </c>
      <c r="L81">
        <f>RIGHT(O81,3)</f>
        <v/>
      </c>
      <c r="M81" t="inlineStr">
        <is>
          <t>JAGS_Male_2000</t>
        </is>
      </c>
      <c r="N81" t="n">
        <v>0.1</v>
      </c>
      <c r="O81" t="inlineStr">
        <is>
          <t>Master Model G10 Grizzly XL_TwoAge_5a_6a_14b_15a_B11</t>
        </is>
      </c>
      <c r="P81" s="10" t="n">
        <v>678768</v>
      </c>
      <c r="Q81" s="10" t="n">
        <v>2</v>
      </c>
      <c r="S81" s="10">
        <f>ROUND(P81-H81,0)</f>
        <v/>
      </c>
      <c r="T81" s="10">
        <f>ROUND(Q81-S81,0)</f>
        <v/>
      </c>
      <c r="V81">
        <f>EXACT(B81,J81)</f>
        <v/>
      </c>
      <c r="W81">
        <f>EXACT(C81,K81)</f>
        <v/>
      </c>
      <c r="X81">
        <f>EXACT(D81,L81)</f>
        <v/>
      </c>
      <c r="Y81">
        <f>EXACT(E81,M81)</f>
        <v/>
      </c>
    </row>
    <row r="82">
      <c r="A82">
        <f>G82&amp;F82&amp;E82</f>
        <v/>
      </c>
      <c r="B82">
        <f>IF(ISNUMBER(SEARCH("G10",G82)),"G10","G25")</f>
        <v/>
      </c>
      <c r="C82">
        <f>IF(ISNUMBER(SEARCH("AllAge",G82)),"AllAge","TwoAge")</f>
        <v/>
      </c>
      <c r="D82">
        <f>RIGHT(G82,3)</f>
        <v/>
      </c>
      <c r="E82" t="inlineStr">
        <is>
          <t>JAGS_Male_2000</t>
        </is>
      </c>
      <c r="F82" t="n">
        <v>0.1</v>
      </c>
      <c r="G82" t="inlineStr">
        <is>
          <t>Master Model G25 Grizzly XL Relapse_TwoAge_B01</t>
        </is>
      </c>
      <c r="H82" s="10" t="n">
        <v>680271</v>
      </c>
      <c r="J82">
        <f>IF(ISNUMBER(SEARCH("G10",O82)),"G10","G25")</f>
        <v/>
      </c>
      <c r="K82">
        <f>IF(ISNUMBER(SEARCH("AllAge",O82)),"AllAge","TwoAge")</f>
        <v/>
      </c>
      <c r="L82">
        <f>RIGHT(O82,3)</f>
        <v/>
      </c>
      <c r="M82" t="inlineStr">
        <is>
          <t>JAGS_Male_2000</t>
        </is>
      </c>
      <c r="N82" t="n">
        <v>0.1</v>
      </c>
      <c r="O82" t="inlineStr">
        <is>
          <t>Master Model G25 Grizzly XL_TwoAge_5a_6a_14b_15a_B01</t>
        </is>
      </c>
      <c r="P82" s="10" t="n">
        <v>680463</v>
      </c>
      <c r="Q82" s="10" t="n">
        <v>1697</v>
      </c>
      <c r="S82" s="10">
        <f>ROUND(P82-H82,0)</f>
        <v/>
      </c>
      <c r="T82" s="10">
        <f>ROUND(Q82-S82,0)</f>
        <v/>
      </c>
      <c r="V82">
        <f>EXACT(B82,J82)</f>
        <v/>
      </c>
      <c r="W82">
        <f>EXACT(C82,K82)</f>
        <v/>
      </c>
      <c r="X82">
        <f>EXACT(D82,L82)</f>
        <v/>
      </c>
      <c r="Y82">
        <f>EXACT(E82,M82)</f>
        <v/>
      </c>
    </row>
    <row r="83">
      <c r="A83">
        <f>G83&amp;F83&amp;E83</f>
        <v/>
      </c>
      <c r="B83">
        <f>IF(ISNUMBER(SEARCH("G10",G83)),"G10","G25")</f>
        <v/>
      </c>
      <c r="C83">
        <f>IF(ISNUMBER(SEARCH("AllAge",G83)),"AllAge","TwoAge")</f>
        <v/>
      </c>
      <c r="D83">
        <f>RIGHT(G83,3)</f>
        <v/>
      </c>
      <c r="E83" t="inlineStr">
        <is>
          <t>JAGS_Male_2000</t>
        </is>
      </c>
      <c r="F83" t="n">
        <v>0.1</v>
      </c>
      <c r="G83" t="inlineStr">
        <is>
          <t>Master Model G25 Grizzly XL Relapse_TwoAge_B02</t>
        </is>
      </c>
      <c r="H83" s="10" t="n">
        <v>680216</v>
      </c>
      <c r="J83">
        <f>IF(ISNUMBER(SEARCH("G10",O83)),"G10","G25")</f>
        <v/>
      </c>
      <c r="K83">
        <f>IF(ISNUMBER(SEARCH("AllAge",O83)),"AllAge","TwoAge")</f>
        <v/>
      </c>
      <c r="L83">
        <f>RIGHT(O83,3)</f>
        <v/>
      </c>
      <c r="M83" t="inlineStr">
        <is>
          <t>JAGS_Male_2000</t>
        </is>
      </c>
      <c r="N83" t="n">
        <v>0.1</v>
      </c>
      <c r="O83" t="inlineStr">
        <is>
          <t>Master Model G25 Grizzly XL_TwoAge_5a_6a_14b_15a_B02</t>
        </is>
      </c>
      <c r="P83" s="10" t="n">
        <v>680412</v>
      </c>
      <c r="Q83" s="10" t="n">
        <v>1647</v>
      </c>
      <c r="S83" s="10">
        <f>ROUND(P83-H83,0)</f>
        <v/>
      </c>
      <c r="T83" s="10">
        <f>ROUND(Q83-S83,0)</f>
        <v/>
      </c>
      <c r="V83">
        <f>EXACT(B83,J83)</f>
        <v/>
      </c>
      <c r="W83">
        <f>EXACT(C83,K83)</f>
        <v/>
      </c>
      <c r="X83">
        <f>EXACT(D83,L83)</f>
        <v/>
      </c>
      <c r="Y83">
        <f>EXACT(E83,M83)</f>
        <v/>
      </c>
    </row>
    <row r="84">
      <c r="A84">
        <f>G84&amp;F84&amp;E84</f>
        <v/>
      </c>
      <c r="B84">
        <f>IF(ISNUMBER(SEARCH("G10",G84)),"G10","G25")</f>
        <v/>
      </c>
      <c r="C84">
        <f>IF(ISNUMBER(SEARCH("AllAge",G84)),"AllAge","TwoAge")</f>
        <v/>
      </c>
      <c r="D84">
        <f>RIGHT(G84,3)</f>
        <v/>
      </c>
      <c r="E84" t="inlineStr">
        <is>
          <t>JAGS_Male_2000</t>
        </is>
      </c>
      <c r="F84" t="n">
        <v>0.1</v>
      </c>
      <c r="G84" t="inlineStr">
        <is>
          <t>Master Model G25 Grizzly XL Relapse_TwoAge_B03</t>
        </is>
      </c>
      <c r="H84" s="10" t="n">
        <v>679798</v>
      </c>
      <c r="J84">
        <f>IF(ISNUMBER(SEARCH("G10",O84)),"G10","G25")</f>
        <v/>
      </c>
      <c r="K84">
        <f>IF(ISNUMBER(SEARCH("AllAge",O84)),"AllAge","TwoAge")</f>
        <v/>
      </c>
      <c r="L84">
        <f>RIGHT(O84,3)</f>
        <v/>
      </c>
      <c r="M84" t="inlineStr">
        <is>
          <t>JAGS_Male_2000</t>
        </is>
      </c>
      <c r="N84" t="n">
        <v>0.1</v>
      </c>
      <c r="O84" t="inlineStr">
        <is>
          <t>Master Model G25 Grizzly XL_TwoAge_5a_6a_14b_15a_B03</t>
        </is>
      </c>
      <c r="P84" s="10" t="n">
        <v>680005</v>
      </c>
      <c r="Q84" s="10" t="n">
        <v>1240</v>
      </c>
      <c r="S84" s="10">
        <f>ROUND(P84-H84,0)</f>
        <v/>
      </c>
      <c r="T84" s="10">
        <f>ROUND(Q84-S84,0)</f>
        <v/>
      </c>
      <c r="V84">
        <f>EXACT(B84,J84)</f>
        <v/>
      </c>
      <c r="W84">
        <f>EXACT(C84,K84)</f>
        <v/>
      </c>
      <c r="X84">
        <f>EXACT(D84,L84)</f>
        <v/>
      </c>
      <c r="Y84">
        <f>EXACT(E84,M84)</f>
        <v/>
      </c>
    </row>
    <row r="85">
      <c r="A85">
        <f>G85&amp;F85&amp;E85</f>
        <v/>
      </c>
      <c r="B85">
        <f>IF(ISNUMBER(SEARCH("G10",G85)),"G10","G25")</f>
        <v/>
      </c>
      <c r="C85">
        <f>IF(ISNUMBER(SEARCH("AllAge",G85)),"AllAge","TwoAge")</f>
        <v/>
      </c>
      <c r="D85">
        <f>RIGHT(G85,3)</f>
        <v/>
      </c>
      <c r="E85" t="inlineStr">
        <is>
          <t>JAGS_Male_2000</t>
        </is>
      </c>
      <c r="F85" t="n">
        <v>0.1</v>
      </c>
      <c r="G85" t="inlineStr">
        <is>
          <t>Master Model G25 Grizzly XL Relapse_TwoAge_B04</t>
        </is>
      </c>
      <c r="H85" s="10" t="n">
        <v>679533</v>
      </c>
      <c r="J85">
        <f>IF(ISNUMBER(SEARCH("G10",O85)),"G10","G25")</f>
        <v/>
      </c>
      <c r="K85">
        <f>IF(ISNUMBER(SEARCH("AllAge",O85)),"AllAge","TwoAge")</f>
        <v/>
      </c>
      <c r="L85">
        <f>RIGHT(O85,3)</f>
        <v/>
      </c>
      <c r="M85" t="inlineStr">
        <is>
          <t>JAGS_Male_2000</t>
        </is>
      </c>
      <c r="N85" t="n">
        <v>0.1</v>
      </c>
      <c r="O85" t="inlineStr">
        <is>
          <t>Master Model G25 Grizzly XL_TwoAge_5a_6a_14b_15a_B04</t>
        </is>
      </c>
      <c r="P85" s="10" t="n">
        <v>679713</v>
      </c>
      <c r="Q85" s="10" t="n">
        <v>948</v>
      </c>
      <c r="S85" s="10">
        <f>ROUND(P85-H85,0)</f>
        <v/>
      </c>
      <c r="T85" s="10">
        <f>ROUND(Q85-S85,0)</f>
        <v/>
      </c>
      <c r="V85">
        <f>EXACT(B85,J85)</f>
        <v/>
      </c>
      <c r="W85">
        <f>EXACT(C85,K85)</f>
        <v/>
      </c>
      <c r="X85">
        <f>EXACT(D85,L85)</f>
        <v/>
      </c>
      <c r="Y85">
        <f>EXACT(E85,M85)</f>
        <v/>
      </c>
    </row>
    <row r="86">
      <c r="A86">
        <f>G86&amp;F86&amp;E86</f>
        <v/>
      </c>
      <c r="B86">
        <f>IF(ISNUMBER(SEARCH("G10",G86)),"G10","G25")</f>
        <v/>
      </c>
      <c r="C86">
        <f>IF(ISNUMBER(SEARCH("AllAge",G86)),"AllAge","TwoAge")</f>
        <v/>
      </c>
      <c r="D86">
        <f>RIGHT(G86,3)</f>
        <v/>
      </c>
      <c r="E86" t="inlineStr">
        <is>
          <t>JAGS_Male_2000</t>
        </is>
      </c>
      <c r="F86" t="n">
        <v>0.1</v>
      </c>
      <c r="G86" t="inlineStr">
        <is>
          <t>Master Model G25 Grizzly XL Relapse_TwoAge_B05</t>
        </is>
      </c>
      <c r="H86" s="10" t="n">
        <v>679301</v>
      </c>
      <c r="J86">
        <f>IF(ISNUMBER(SEARCH("G10",O86)),"G10","G25")</f>
        <v/>
      </c>
      <c r="K86">
        <f>IF(ISNUMBER(SEARCH("AllAge",O86)),"AllAge","TwoAge")</f>
        <v/>
      </c>
      <c r="L86">
        <f>RIGHT(O86,3)</f>
        <v/>
      </c>
      <c r="M86" t="inlineStr">
        <is>
          <t>JAGS_Male_2000</t>
        </is>
      </c>
      <c r="N86" t="n">
        <v>0.1</v>
      </c>
      <c r="O86" t="inlineStr">
        <is>
          <t>Master Model G25 Grizzly XL_TwoAge_5a_6a_14b_15a_B05</t>
        </is>
      </c>
      <c r="P86" s="10" t="n">
        <v>679415</v>
      </c>
      <c r="Q86" s="10" t="n">
        <v>650</v>
      </c>
      <c r="S86" s="10">
        <f>ROUND(P86-H86,0)</f>
        <v/>
      </c>
      <c r="T86" s="10">
        <f>ROUND(Q86-S86,0)</f>
        <v/>
      </c>
      <c r="V86">
        <f>EXACT(B86,J86)</f>
        <v/>
      </c>
      <c r="W86">
        <f>EXACT(C86,K86)</f>
        <v/>
      </c>
      <c r="X86">
        <f>EXACT(D86,L86)</f>
        <v/>
      </c>
      <c r="Y86">
        <f>EXACT(E86,M86)</f>
        <v/>
      </c>
    </row>
    <row r="87">
      <c r="A87">
        <f>G87&amp;F87&amp;E87</f>
        <v/>
      </c>
      <c r="B87">
        <f>IF(ISNUMBER(SEARCH("G10",G87)),"G10","G25")</f>
        <v/>
      </c>
      <c r="C87">
        <f>IF(ISNUMBER(SEARCH("AllAge",G87)),"AllAge","TwoAge")</f>
        <v/>
      </c>
      <c r="D87">
        <f>RIGHT(G87,3)</f>
        <v/>
      </c>
      <c r="E87" t="inlineStr">
        <is>
          <t>JAGS_Male_2000</t>
        </is>
      </c>
      <c r="F87" t="n">
        <v>0.1</v>
      </c>
      <c r="G87" t="inlineStr">
        <is>
          <t>Master Model G25 Grizzly XL Relapse_TwoAge_B06</t>
        </is>
      </c>
      <c r="H87" s="10" t="n">
        <v>679118</v>
      </c>
      <c r="J87">
        <f>IF(ISNUMBER(SEARCH("G10",O87)),"G10","G25")</f>
        <v/>
      </c>
      <c r="K87">
        <f>IF(ISNUMBER(SEARCH("AllAge",O87)),"AllAge","TwoAge")</f>
        <v/>
      </c>
      <c r="L87">
        <f>RIGHT(O87,3)</f>
        <v/>
      </c>
      <c r="M87" t="inlineStr">
        <is>
          <t>JAGS_Male_2000</t>
        </is>
      </c>
      <c r="N87" t="n">
        <v>0.1</v>
      </c>
      <c r="O87" t="inlineStr">
        <is>
          <t>Master Model G25 Grizzly XL_TwoAge_5a_6a_14b_15a_B06</t>
        </is>
      </c>
      <c r="P87" s="10" t="n">
        <v>679204</v>
      </c>
      <c r="Q87" s="10" t="n">
        <v>439</v>
      </c>
      <c r="S87" s="10">
        <f>ROUND(P87-H87,0)</f>
        <v/>
      </c>
      <c r="T87" s="10">
        <f>ROUND(Q87-S87,0)</f>
        <v/>
      </c>
      <c r="V87">
        <f>EXACT(B87,J87)</f>
        <v/>
      </c>
      <c r="W87">
        <f>EXACT(C87,K87)</f>
        <v/>
      </c>
      <c r="X87">
        <f>EXACT(D87,L87)</f>
        <v/>
      </c>
      <c r="Y87">
        <f>EXACT(E87,M87)</f>
        <v/>
      </c>
    </row>
    <row r="88">
      <c r="A88">
        <f>G88&amp;F88&amp;E88</f>
        <v/>
      </c>
      <c r="B88">
        <f>IF(ISNUMBER(SEARCH("G10",G88)),"G10","G25")</f>
        <v/>
      </c>
      <c r="C88">
        <f>IF(ISNUMBER(SEARCH("AllAge",G88)),"AllAge","TwoAge")</f>
        <v/>
      </c>
      <c r="D88">
        <f>RIGHT(G88,3)</f>
        <v/>
      </c>
      <c r="E88" t="inlineStr">
        <is>
          <t>JAGS_Male_2000</t>
        </is>
      </c>
      <c r="F88" t="n">
        <v>0.1</v>
      </c>
      <c r="G88" t="inlineStr">
        <is>
          <t>Master Model G25 Grizzly XL Relapse_TwoAge_B07</t>
        </is>
      </c>
      <c r="H88" s="10" t="n">
        <v>678941</v>
      </c>
      <c r="J88">
        <f>IF(ISNUMBER(SEARCH("G10",O88)),"G10","G25")</f>
        <v/>
      </c>
      <c r="K88">
        <f>IF(ISNUMBER(SEARCH("AllAge",O88)),"AllAge","TwoAge")</f>
        <v/>
      </c>
      <c r="L88">
        <f>RIGHT(O88,3)</f>
        <v/>
      </c>
      <c r="M88" t="inlineStr">
        <is>
          <t>JAGS_Male_2000</t>
        </is>
      </c>
      <c r="N88" t="n">
        <v>0.1</v>
      </c>
      <c r="O88" t="inlineStr">
        <is>
          <t>Master Model G25 Grizzly XL_TwoAge_5a_6a_14b_15a_B07</t>
        </is>
      </c>
      <c r="P88" s="10" t="n">
        <v>678985</v>
      </c>
      <c r="Q88" s="10" t="n">
        <v>220</v>
      </c>
      <c r="S88" s="10">
        <f>ROUND(P88-H88,0)</f>
        <v/>
      </c>
      <c r="T88" s="10">
        <f>ROUND(Q88-S88,0)</f>
        <v/>
      </c>
      <c r="V88">
        <f>EXACT(B88,J88)</f>
        <v/>
      </c>
      <c r="W88">
        <f>EXACT(C88,K88)</f>
        <v/>
      </c>
      <c r="X88">
        <f>EXACT(D88,L88)</f>
        <v/>
      </c>
      <c r="Y88">
        <f>EXACT(E88,M88)</f>
        <v/>
      </c>
    </row>
    <row r="89">
      <c r="A89">
        <f>G89&amp;F89&amp;E89</f>
        <v/>
      </c>
      <c r="B89">
        <f>IF(ISNUMBER(SEARCH("G10",G89)),"G10","G25")</f>
        <v/>
      </c>
      <c r="C89">
        <f>IF(ISNUMBER(SEARCH("AllAge",G89)),"AllAge","TwoAge")</f>
        <v/>
      </c>
      <c r="D89">
        <f>RIGHT(G89,3)</f>
        <v/>
      </c>
      <c r="E89" t="inlineStr">
        <is>
          <t>JAGS_Male_2000</t>
        </is>
      </c>
      <c r="F89" t="n">
        <v>0.1</v>
      </c>
      <c r="G89" t="inlineStr">
        <is>
          <t>Master Model G25 Grizzly XL Relapse_TwoAge_B08</t>
        </is>
      </c>
      <c r="H89" s="10" t="n">
        <v>678828</v>
      </c>
      <c r="J89">
        <f>IF(ISNUMBER(SEARCH("G10",O89)),"G10","G25")</f>
        <v/>
      </c>
      <c r="K89">
        <f>IF(ISNUMBER(SEARCH("AllAge",O89)),"AllAge","TwoAge")</f>
        <v/>
      </c>
      <c r="L89">
        <f>RIGHT(O89,3)</f>
        <v/>
      </c>
      <c r="M89" t="inlineStr">
        <is>
          <t>JAGS_Male_2000</t>
        </is>
      </c>
      <c r="N89" t="n">
        <v>0.1</v>
      </c>
      <c r="O89" t="inlineStr">
        <is>
          <t>Master Model G25 Grizzly XL_TwoAge_5a_6a_14b_15a_B08</t>
        </is>
      </c>
      <c r="P89" s="10" t="n">
        <v>678839</v>
      </c>
      <c r="Q89" s="10" t="n">
        <v>73</v>
      </c>
      <c r="S89" s="10">
        <f>ROUND(P89-H89,0)</f>
        <v/>
      </c>
      <c r="T89" s="10">
        <f>ROUND(Q89-S89,0)</f>
        <v/>
      </c>
      <c r="V89">
        <f>EXACT(B89,J89)</f>
        <v/>
      </c>
      <c r="W89">
        <f>EXACT(C89,K89)</f>
        <v/>
      </c>
      <c r="X89">
        <f>EXACT(D89,L89)</f>
        <v/>
      </c>
      <c r="Y89">
        <f>EXACT(E89,M89)</f>
        <v/>
      </c>
    </row>
    <row r="90">
      <c r="A90">
        <f>G90&amp;F90&amp;E90</f>
        <v/>
      </c>
      <c r="B90">
        <f>IF(ISNUMBER(SEARCH("G10",G90)),"G10","G25")</f>
        <v/>
      </c>
      <c r="C90">
        <f>IF(ISNUMBER(SEARCH("AllAge",G90)),"AllAge","TwoAge")</f>
        <v/>
      </c>
      <c r="D90">
        <f>RIGHT(G90,3)</f>
        <v/>
      </c>
      <c r="E90" t="inlineStr">
        <is>
          <t>JAGS_Male_2000</t>
        </is>
      </c>
      <c r="F90" t="n">
        <v>0.1</v>
      </c>
      <c r="G90" t="inlineStr">
        <is>
          <t>Master Model G25 Grizzly XL Relapse_TwoAge_B09</t>
        </is>
      </c>
      <c r="H90" s="10" t="n">
        <v>678779</v>
      </c>
      <c r="J90">
        <f>IF(ISNUMBER(SEARCH("G10",O90)),"G10","G25")</f>
        <v/>
      </c>
      <c r="K90">
        <f>IF(ISNUMBER(SEARCH("AllAge",O90)),"AllAge","TwoAge")</f>
        <v/>
      </c>
      <c r="L90">
        <f>RIGHT(O90,3)</f>
        <v/>
      </c>
      <c r="M90" t="inlineStr">
        <is>
          <t>JAGS_Male_2000</t>
        </is>
      </c>
      <c r="N90" t="n">
        <v>0.1</v>
      </c>
      <c r="O90" t="inlineStr">
        <is>
          <t>Master Model G25 Grizzly XL_TwoAge_5a_6a_14b_15a_B09</t>
        </is>
      </c>
      <c r="P90" s="10" t="n">
        <v>678786</v>
      </c>
      <c r="Q90" s="10" t="n">
        <v>20</v>
      </c>
      <c r="S90" s="10">
        <f>ROUND(P90-H90,0)</f>
        <v/>
      </c>
      <c r="T90" s="10">
        <f>ROUND(Q90-S90,0)</f>
        <v/>
      </c>
      <c r="V90">
        <f>EXACT(B90,J90)</f>
        <v/>
      </c>
      <c r="W90">
        <f>EXACT(C90,K90)</f>
        <v/>
      </c>
      <c r="X90">
        <f>EXACT(D90,L90)</f>
        <v/>
      </c>
      <c r="Y90">
        <f>EXACT(E90,M90)</f>
        <v/>
      </c>
    </row>
    <row r="91">
      <c r="A91">
        <f>G91&amp;F91&amp;E91</f>
        <v/>
      </c>
      <c r="B91">
        <f>IF(ISNUMBER(SEARCH("G10",G91)),"G10","G25")</f>
        <v/>
      </c>
      <c r="C91">
        <f>IF(ISNUMBER(SEARCH("AllAge",G91)),"AllAge","TwoAge")</f>
        <v/>
      </c>
      <c r="D91">
        <f>RIGHT(G91,3)</f>
        <v/>
      </c>
      <c r="E91" t="inlineStr">
        <is>
          <t>JAGS_Male_2000</t>
        </is>
      </c>
      <c r="F91" t="n">
        <v>0.1</v>
      </c>
      <c r="G91" t="inlineStr">
        <is>
          <t>Master Model G25 Grizzly XL Relapse_TwoAge_B10</t>
        </is>
      </c>
      <c r="H91" s="10" t="n">
        <v>678770</v>
      </c>
      <c r="J91">
        <f>IF(ISNUMBER(SEARCH("G10",O91)),"G10","G25")</f>
        <v/>
      </c>
      <c r="K91">
        <f>IF(ISNUMBER(SEARCH("AllAge",O91)),"AllAge","TwoAge")</f>
        <v/>
      </c>
      <c r="L91">
        <f>RIGHT(O91,3)</f>
        <v/>
      </c>
      <c r="M91" t="inlineStr">
        <is>
          <t>JAGS_Male_2000</t>
        </is>
      </c>
      <c r="N91" t="n">
        <v>0.1</v>
      </c>
      <c r="O91" t="inlineStr">
        <is>
          <t>Master Model G25 Grizzly XL_TwoAge_5a_6a_14b_15a_B10</t>
        </is>
      </c>
      <c r="P91" s="10" t="n">
        <v>678773</v>
      </c>
      <c r="Q91" s="10" t="n">
        <v>8</v>
      </c>
      <c r="S91" s="10">
        <f>ROUND(P91-H91,0)</f>
        <v/>
      </c>
      <c r="T91" s="10">
        <f>ROUND(Q91-S91,0)</f>
        <v/>
      </c>
      <c r="V91">
        <f>EXACT(B91,J91)</f>
        <v/>
      </c>
      <c r="W91">
        <f>EXACT(C91,K91)</f>
        <v/>
      </c>
      <c r="X91">
        <f>EXACT(D91,L91)</f>
        <v/>
      </c>
      <c r="Y91">
        <f>EXACT(E91,M91)</f>
        <v/>
      </c>
    </row>
    <row r="92">
      <c r="A92">
        <f>G92&amp;F92&amp;E92</f>
        <v/>
      </c>
      <c r="B92">
        <f>IF(ISNUMBER(SEARCH("G10",G92)),"G10","G25")</f>
        <v/>
      </c>
      <c r="C92">
        <f>IF(ISNUMBER(SEARCH("AllAge",G92)),"AllAge","TwoAge")</f>
        <v/>
      </c>
      <c r="D92">
        <f>RIGHT(G92,3)</f>
        <v/>
      </c>
      <c r="E92" t="inlineStr">
        <is>
          <t>JAGS_Male_2000</t>
        </is>
      </c>
      <c r="F92" t="n">
        <v>0.1</v>
      </c>
      <c r="G92" t="inlineStr">
        <is>
          <t>Master Model G25 Grizzly XL Relapse_TwoAge_B11</t>
        </is>
      </c>
      <c r="H92" s="10" t="n">
        <v>678767</v>
      </c>
      <c r="J92">
        <f>IF(ISNUMBER(SEARCH("G10",O92)),"G10","G25")</f>
        <v/>
      </c>
      <c r="K92">
        <f>IF(ISNUMBER(SEARCH("AllAge",O92)),"AllAge","TwoAge")</f>
        <v/>
      </c>
      <c r="L92">
        <f>RIGHT(O92,3)</f>
        <v/>
      </c>
      <c r="M92" t="inlineStr">
        <is>
          <t>JAGS_Male_2000</t>
        </is>
      </c>
      <c r="N92" t="n">
        <v>0.1</v>
      </c>
      <c r="O92" t="inlineStr">
        <is>
          <t>Master Model G25 Grizzly XL_TwoAge_5a_6a_14b_15a_B11</t>
        </is>
      </c>
      <c r="P92" s="10" t="n">
        <v>678768</v>
      </c>
      <c r="Q92" s="10" t="n">
        <v>2</v>
      </c>
      <c r="S92" s="10">
        <f>ROUND(P92-H92,0)</f>
        <v/>
      </c>
      <c r="T92" s="10">
        <f>ROUND(Q92-S92,0)</f>
        <v/>
      </c>
      <c r="V92">
        <f>EXACT(B92,J92)</f>
        <v/>
      </c>
      <c r="W92">
        <f>EXACT(C92,K92)</f>
        <v/>
      </c>
      <c r="X92">
        <f>EXACT(D92,L92)</f>
        <v/>
      </c>
      <c r="Y92">
        <f>EXACT(E92,M92)</f>
        <v/>
      </c>
    </row>
  </sheetData>
  <conditionalFormatting sqref="V5:Y92">
    <cfRule type="expression" priority="1" dxfId="45" stopIfTrue="1">
      <formula>V5=TRUE</formula>
    </cfRule>
    <cfRule type="expression" priority="2" dxfId="46" stopIfTrue="1">
      <formula>V5=FALSE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4" customWidth="1" min="2" max="2"/>
    <col width="18" customWidth="1" min="3" max="3"/>
    <col width="6" customWidth="1" min="4" max="4"/>
    <col width="17" customWidth="1" min="5" max="5"/>
    <col width="43" customWidth="1" min="6" max="6"/>
    <col width="11" customWidth="1" min="7" max="7"/>
    <col width="10" customWidth="1" min="8" max="8"/>
    <col width="14" customWidth="1" min="9" max="9"/>
    <col width="55" customWidth="1" min="10" max="10"/>
    <col width="8" customWidth="1" min="11" max="11"/>
    <col width="8" customWidth="1" min="12" max="12"/>
    <col width="25" customWidth="1" min="13" max="13"/>
    <col width="24" customWidth="1" min="14" max="14"/>
    <col width="28" customWidth="1" min="15" max="15"/>
    <col width="13" customWidth="1" min="16" max="16"/>
    <col width="11" customWidth="1" min="17" max="17"/>
  </cols>
  <sheetData>
    <row r="1">
      <c r="A1" s="41" t="inlineStr">
        <is>
          <t>Detailed Model Results</t>
        </is>
      </c>
    </row>
    <row r="2">
      <c r="A2" s="42" t="inlineStr">
        <is>
          <t>Model Group</t>
        </is>
      </c>
      <c r="B2" s="42" t="inlineStr">
        <is>
          <t>Model Name</t>
        </is>
      </c>
      <c r="C2" s="42" t="inlineStr">
        <is>
          <t>Mortality Model</t>
        </is>
      </c>
      <c r="D2" s="42" t="inlineStr">
        <is>
          <t>ERR</t>
        </is>
      </c>
      <c r="E2" s="42" t="inlineStr">
        <is>
          <t>ERR Variability</t>
        </is>
      </c>
      <c r="F2" s="42" t="inlineStr">
        <is>
          <t>TP Variability</t>
        </is>
      </c>
      <c r="G2" s="42" t="inlineStr">
        <is>
          <t>Age Range</t>
        </is>
      </c>
      <c r="H2" s="42" t="inlineStr">
        <is>
          <t>Node</t>
        </is>
      </c>
      <c r="I2" s="42" t="inlineStr">
        <is>
          <t>Mean_Webtool</t>
        </is>
      </c>
      <c r="J2" s="42" t="inlineStr">
        <is>
          <t>Key</t>
        </is>
      </c>
      <c r="K2" s="42" t="inlineStr">
        <is>
          <t>Mean</t>
        </is>
      </c>
      <c r="L2" s="42" t="inlineStr">
        <is>
          <t>QC</t>
        </is>
      </c>
      <c r="M2" s="42" t="inlineStr">
        <is>
          <t>Trans. Prob Stand. Dev.</t>
        </is>
      </c>
      <c r="N2" s="42" t="inlineStr">
        <is>
          <t>ERR Standard Deviation</t>
        </is>
      </c>
      <c r="O2" s="42" t="inlineStr">
        <is>
          <t>Creation Date</t>
        </is>
      </c>
      <c r="P2" s="42" t="inlineStr">
        <is>
          <t>Web Version</t>
        </is>
      </c>
      <c r="Q2" s="42" t="inlineStr">
        <is>
          <t>R Version</t>
        </is>
      </c>
    </row>
    <row r="3">
      <c r="A3" t="inlineStr">
        <is>
          <t>Grizzly XL YO</t>
        </is>
      </c>
      <c r="B3" t="inlineStr">
        <is>
          <t>Master Model G10 Grizzly XL_TwoAge_5a_6a_14b_15a_B01</t>
        </is>
      </c>
      <c r="C3" t="inlineStr">
        <is>
          <t>JAGS_Male_2000</t>
        </is>
      </c>
      <c r="D3" t="n">
        <v>0.05</v>
      </c>
      <c r="E3" t="inlineStr">
        <is>
          <t>Variable</t>
        </is>
      </c>
      <c r="F3" t="inlineStr">
        <is>
          <t>Smoking initiation and cessation variable</t>
        </is>
      </c>
      <c r="G3" t="inlineStr">
        <is>
          <t>68 - 72</t>
        </is>
      </c>
      <c r="H3" t="inlineStr">
        <is>
          <t>DIFF_ALL</t>
        </is>
      </c>
      <c r="I3" s="10" t="n">
        <v>2679</v>
      </c>
      <c r="J3">
        <f>B3&amp;D3&amp;C3</f>
        <v/>
      </c>
      <c r="K3" s="10" t="n">
        <v>2679</v>
      </c>
      <c r="L3" s="10">
        <f>ROUND(IF(ISNUMBER(SEARCH("Relapse",J3)),_xlfn.XLOOKUP(J3,'Pivot and Calcs'!A:A,'Pivot and Calcs'!T:T),I3),0)</f>
        <v/>
      </c>
      <c r="M3" t="n">
        <v>0.01</v>
      </c>
      <c r="N3" t="n">
        <v>0.009999999776482582</v>
      </c>
      <c r="O3" s="43" t="n">
        <v>46254.03570530093</v>
      </c>
      <c r="P3" t="inlineStr">
        <is>
          <t>3.0.0</t>
        </is>
      </c>
      <c r="Q3" t="inlineStr">
        <is>
          <t>1.8</t>
        </is>
      </c>
    </row>
    <row r="4">
      <c r="A4" t="inlineStr">
        <is>
          <t>Grizzly XL YO</t>
        </is>
      </c>
      <c r="B4" t="inlineStr">
        <is>
          <t>Master Model G10 Grizzly XL_TwoAge_5a_6a_14b_15a_B01</t>
        </is>
      </c>
      <c r="C4" t="inlineStr">
        <is>
          <t>JAGS_Male_2000</t>
        </is>
      </c>
      <c r="D4" t="n">
        <v>0.1</v>
      </c>
      <c r="E4" t="inlineStr">
        <is>
          <t>Variable</t>
        </is>
      </c>
      <c r="F4" t="inlineStr">
        <is>
          <t>Smoking initiation and cessation variable</t>
        </is>
      </c>
      <c r="G4" t="inlineStr">
        <is>
          <t>68 - 72</t>
        </is>
      </c>
      <c r="H4" t="inlineStr">
        <is>
          <t>DIFF_ALL</t>
        </is>
      </c>
      <c r="I4" s="10" t="n">
        <v>2047</v>
      </c>
      <c r="J4">
        <f>B4&amp;D4&amp;C4</f>
        <v/>
      </c>
      <c r="K4" s="10" t="n">
        <v>2047</v>
      </c>
      <c r="L4" s="10">
        <f>ROUND(IF(ISNUMBER(SEARCH("Relapse",J4)),_xlfn.XLOOKUP(J4,'Pivot and Calcs'!A:A,'Pivot and Calcs'!T:T),I4),0)</f>
        <v/>
      </c>
      <c r="M4" t="n">
        <v>0.01</v>
      </c>
      <c r="N4" t="n">
        <v>0.009999999776482582</v>
      </c>
      <c r="O4" s="43" t="n">
        <v>46254.03570530093</v>
      </c>
      <c r="P4" t="inlineStr">
        <is>
          <t>3.0.0</t>
        </is>
      </c>
      <c r="Q4" t="inlineStr">
        <is>
          <t>1.8</t>
        </is>
      </c>
    </row>
    <row r="5">
      <c r="A5" t="inlineStr">
        <is>
          <t>Grizzly XL YO</t>
        </is>
      </c>
      <c r="B5" t="inlineStr">
        <is>
          <t>Master Model G10 Grizzly XL_TwoAge_5a_6a_14b_15a_B01</t>
        </is>
      </c>
      <c r="C5" t="inlineStr">
        <is>
          <t>JAGS_Female_2000</t>
        </is>
      </c>
      <c r="D5" t="n">
        <v>0.05</v>
      </c>
      <c r="E5" t="inlineStr">
        <is>
          <t>Variable</t>
        </is>
      </c>
      <c r="F5" t="inlineStr">
        <is>
          <t>Smoking initiation and cessation variable</t>
        </is>
      </c>
      <c r="G5" t="inlineStr">
        <is>
          <t>68 - 72</t>
        </is>
      </c>
      <c r="H5" t="inlineStr">
        <is>
          <t>DIFF_ALL</t>
        </is>
      </c>
      <c r="I5" s="10" t="n">
        <v>2294</v>
      </c>
      <c r="J5">
        <f>B5&amp;D5&amp;C5</f>
        <v/>
      </c>
      <c r="K5" s="10" t="n">
        <v>2294</v>
      </c>
      <c r="L5" s="10">
        <f>ROUND(IF(ISNUMBER(SEARCH("Relapse",J5)),_xlfn.XLOOKUP(J5,'Pivot and Calcs'!A:A,'Pivot and Calcs'!T:T),I5),0)</f>
        <v/>
      </c>
      <c r="M5" t="n">
        <v>0.01</v>
      </c>
      <c r="N5" t="n">
        <v>0.009999999776482582</v>
      </c>
      <c r="O5" s="43" t="n">
        <v>46254.03570530093</v>
      </c>
      <c r="P5" t="inlineStr">
        <is>
          <t>3.0.0</t>
        </is>
      </c>
      <c r="Q5" t="inlineStr">
        <is>
          <t>1.8</t>
        </is>
      </c>
    </row>
    <row r="6">
      <c r="A6" t="inlineStr">
        <is>
          <t>Grizzly XL YO</t>
        </is>
      </c>
      <c r="B6" t="inlineStr">
        <is>
          <t>Master Model G10 Grizzly XL_TwoAge_5a_6a_14b_15a_B01</t>
        </is>
      </c>
      <c r="C6" t="inlineStr">
        <is>
          <t>JAGS_Female_2000</t>
        </is>
      </c>
      <c r="D6" t="n">
        <v>0.1</v>
      </c>
      <c r="E6" t="inlineStr">
        <is>
          <t>Variable</t>
        </is>
      </c>
      <c r="F6" t="inlineStr">
        <is>
          <t>Smoking initiation and cessation variable</t>
        </is>
      </c>
      <c r="G6" t="inlineStr">
        <is>
          <t>68 - 72</t>
        </is>
      </c>
      <c r="H6" t="inlineStr">
        <is>
          <t>DIFF_ALL</t>
        </is>
      </c>
      <c r="I6" s="10" t="n">
        <v>1783</v>
      </c>
      <c r="J6">
        <f>B6&amp;D6&amp;C6</f>
        <v/>
      </c>
      <c r="K6" s="10" t="n">
        <v>1783</v>
      </c>
      <c r="L6" s="10">
        <f>ROUND(IF(ISNUMBER(SEARCH("Relapse",J6)),_xlfn.XLOOKUP(J6,'Pivot and Calcs'!A:A,'Pivot and Calcs'!T:T),I6),0)</f>
        <v/>
      </c>
      <c r="M6" t="n">
        <v>0.01</v>
      </c>
      <c r="N6" t="n">
        <v>0.009999999776482582</v>
      </c>
      <c r="O6" s="43" t="n">
        <v>46254.03570530093</v>
      </c>
      <c r="P6" t="inlineStr">
        <is>
          <t>3.0.0</t>
        </is>
      </c>
      <c r="Q6" t="inlineStr">
        <is>
          <t>1.8</t>
        </is>
      </c>
    </row>
    <row r="7">
      <c r="A7" t="inlineStr">
        <is>
          <t>Grizzly XL YO</t>
        </is>
      </c>
      <c r="B7" t="inlineStr">
        <is>
          <t>Master Model G10 Grizzly XL_TwoAge_5a_6a_14b_15a_B02</t>
        </is>
      </c>
      <c r="C7" t="inlineStr">
        <is>
          <t>JAGS_Male_2000</t>
        </is>
      </c>
      <c r="D7" t="n">
        <v>0.05</v>
      </c>
      <c r="E7" t="inlineStr">
        <is>
          <t>Variable</t>
        </is>
      </c>
      <c r="F7" t="inlineStr">
        <is>
          <t>Smoking initiation and cessation variable</t>
        </is>
      </c>
      <c r="G7" t="inlineStr">
        <is>
          <t>68 - 72</t>
        </is>
      </c>
      <c r="H7" t="inlineStr">
        <is>
          <t>DIFF_ALL</t>
        </is>
      </c>
      <c r="I7" s="10" t="n">
        <v>2392</v>
      </c>
      <c r="J7">
        <f>B7&amp;D7&amp;C7</f>
        <v/>
      </c>
      <c r="K7" s="10" t="n">
        <v>2392</v>
      </c>
      <c r="L7" s="10">
        <f>ROUND(IF(ISNUMBER(SEARCH("Relapse",J7)),_xlfn.XLOOKUP(J7,'Pivot and Calcs'!A:A,'Pivot and Calcs'!T:T),I7),0)</f>
        <v/>
      </c>
      <c r="M7" t="n">
        <v>0.01</v>
      </c>
      <c r="N7" t="n">
        <v>0.009999999776482582</v>
      </c>
      <c r="O7" s="43" t="n">
        <v>46254.03570530093</v>
      </c>
      <c r="P7" t="inlineStr">
        <is>
          <t>3.0.0</t>
        </is>
      </c>
      <c r="Q7" t="inlineStr">
        <is>
          <t>1.8</t>
        </is>
      </c>
    </row>
    <row r="8">
      <c r="A8" t="inlineStr">
        <is>
          <t>Grizzly XL YO</t>
        </is>
      </c>
      <c r="B8" t="inlineStr">
        <is>
          <t>Master Model G10 Grizzly XL_TwoAge_5a_6a_14b_15a_B02</t>
        </is>
      </c>
      <c r="C8" t="inlineStr">
        <is>
          <t>JAGS_Male_2000</t>
        </is>
      </c>
      <c r="D8" t="n">
        <v>0.1</v>
      </c>
      <c r="E8" t="inlineStr">
        <is>
          <t>Variable</t>
        </is>
      </c>
      <c r="F8" t="inlineStr">
        <is>
          <t>Smoking initiation and cessation variable</t>
        </is>
      </c>
      <c r="G8" t="inlineStr">
        <is>
          <t>68 - 72</t>
        </is>
      </c>
      <c r="H8" t="inlineStr">
        <is>
          <t>DIFF_ALL</t>
        </is>
      </c>
      <c r="I8" s="10" t="n">
        <v>1908</v>
      </c>
      <c r="J8">
        <f>B8&amp;D8&amp;C8</f>
        <v/>
      </c>
      <c r="K8" s="10" t="n">
        <v>1908</v>
      </c>
      <c r="L8" s="10">
        <f>ROUND(IF(ISNUMBER(SEARCH("Relapse",J8)),_xlfn.XLOOKUP(J8,'Pivot and Calcs'!A:A,'Pivot and Calcs'!T:T),I8),0)</f>
        <v/>
      </c>
      <c r="M8" t="n">
        <v>0.01</v>
      </c>
      <c r="N8" t="n">
        <v>0.009999999776482582</v>
      </c>
      <c r="O8" s="43" t="n">
        <v>46254.03570530093</v>
      </c>
      <c r="P8" t="inlineStr">
        <is>
          <t>3.0.0</t>
        </is>
      </c>
      <c r="Q8" t="inlineStr">
        <is>
          <t>1.8</t>
        </is>
      </c>
    </row>
    <row r="9">
      <c r="A9" t="inlineStr">
        <is>
          <t>Grizzly XL YO</t>
        </is>
      </c>
      <c r="B9" t="inlineStr">
        <is>
          <t>Master Model G10 Grizzly XL_TwoAge_5a_6a_14b_15a_B02</t>
        </is>
      </c>
      <c r="C9" t="inlineStr">
        <is>
          <t>JAGS_Female_2000</t>
        </is>
      </c>
      <c r="D9" t="n">
        <v>0.05</v>
      </c>
      <c r="E9" t="inlineStr">
        <is>
          <t>Variable</t>
        </is>
      </c>
      <c r="F9" t="inlineStr">
        <is>
          <t>Smoking initiation and cessation variable</t>
        </is>
      </c>
      <c r="G9" t="inlineStr">
        <is>
          <t>68 - 72</t>
        </is>
      </c>
      <c r="H9" t="inlineStr">
        <is>
          <t>DIFF_ALL</t>
        </is>
      </c>
      <c r="I9" s="10" t="n">
        <v>2012</v>
      </c>
      <c r="J9">
        <f>B9&amp;D9&amp;C9</f>
        <v/>
      </c>
      <c r="K9" s="10" t="n">
        <v>2012</v>
      </c>
      <c r="L9" s="10">
        <f>ROUND(IF(ISNUMBER(SEARCH("Relapse",J9)),_xlfn.XLOOKUP(J9,'Pivot and Calcs'!A:A,'Pivot and Calcs'!T:T),I9),0)</f>
        <v/>
      </c>
      <c r="M9" t="n">
        <v>0.01</v>
      </c>
      <c r="N9" t="n">
        <v>0.009999999776482582</v>
      </c>
      <c r="O9" s="43" t="n">
        <v>46254.03570530093</v>
      </c>
      <c r="P9" t="inlineStr">
        <is>
          <t>3.0.0</t>
        </is>
      </c>
      <c r="Q9" t="inlineStr">
        <is>
          <t>1.8</t>
        </is>
      </c>
    </row>
    <row r="10">
      <c r="A10" t="inlineStr">
        <is>
          <t>Grizzly XL YO</t>
        </is>
      </c>
      <c r="B10" t="inlineStr">
        <is>
          <t>Master Model G10 Grizzly XL_TwoAge_5a_6a_14b_15a_B02</t>
        </is>
      </c>
      <c r="C10" t="inlineStr">
        <is>
          <t>JAGS_Female_2000</t>
        </is>
      </c>
      <c r="D10" t="n">
        <v>0.1</v>
      </c>
      <c r="E10" t="inlineStr">
        <is>
          <t>Variable</t>
        </is>
      </c>
      <c r="F10" t="inlineStr">
        <is>
          <t>Smoking initiation and cessation variable</t>
        </is>
      </c>
      <c r="G10" t="inlineStr">
        <is>
          <t>68 - 72</t>
        </is>
      </c>
      <c r="H10" t="inlineStr">
        <is>
          <t>DIFF_ALL</t>
        </is>
      </c>
      <c r="I10" s="10" t="n">
        <v>1622</v>
      </c>
      <c r="J10">
        <f>B10&amp;D10&amp;C10</f>
        <v/>
      </c>
      <c r="K10" s="10" t="n">
        <v>1622</v>
      </c>
      <c r="L10" s="10">
        <f>ROUND(IF(ISNUMBER(SEARCH("Relapse",J10)),_xlfn.XLOOKUP(J10,'Pivot and Calcs'!A:A,'Pivot and Calcs'!T:T),I10),0)</f>
        <v/>
      </c>
      <c r="M10" t="n">
        <v>0.01</v>
      </c>
      <c r="N10" t="n">
        <v>0.009999999776482582</v>
      </c>
      <c r="O10" s="43" t="n">
        <v>46254.03570530093</v>
      </c>
      <c r="P10" t="inlineStr">
        <is>
          <t>3.0.0</t>
        </is>
      </c>
      <c r="Q10" t="inlineStr">
        <is>
          <t>1.8</t>
        </is>
      </c>
    </row>
    <row r="11">
      <c r="A11" t="inlineStr">
        <is>
          <t>Grizzly XL YO</t>
        </is>
      </c>
      <c r="B11" t="inlineStr">
        <is>
          <t>Master Model G10 Grizzly XL_TwoAge_5a_6a_14b_15a_B03</t>
        </is>
      </c>
      <c r="C11" t="inlineStr">
        <is>
          <t>JAGS_Male_2000</t>
        </is>
      </c>
      <c r="D11" t="n">
        <v>0.05</v>
      </c>
      <c r="E11" t="inlineStr">
        <is>
          <t>Variable</t>
        </is>
      </c>
      <c r="F11" t="inlineStr">
        <is>
          <t>Smoking initiation and cessation variable</t>
        </is>
      </c>
      <c r="G11" t="inlineStr">
        <is>
          <t>68 - 72</t>
        </is>
      </c>
      <c r="H11" t="inlineStr">
        <is>
          <t>DIFF_ALL</t>
        </is>
      </c>
      <c r="I11" s="10" t="n">
        <v>1590</v>
      </c>
      <c r="J11">
        <f>B11&amp;D11&amp;C11</f>
        <v/>
      </c>
      <c r="K11" s="10" t="n">
        <v>1590</v>
      </c>
      <c r="L11" s="10">
        <f>ROUND(IF(ISNUMBER(SEARCH("Relapse",J11)),_xlfn.XLOOKUP(J11,'Pivot and Calcs'!A:A,'Pivot and Calcs'!T:T),I11),0)</f>
        <v/>
      </c>
      <c r="M11" t="n">
        <v>0.01</v>
      </c>
      <c r="N11" t="n">
        <v>0.009999999776482582</v>
      </c>
      <c r="O11" s="43" t="n">
        <v>46254.03570530093</v>
      </c>
      <c r="P11" t="inlineStr">
        <is>
          <t>3.0.0</t>
        </is>
      </c>
      <c r="Q11" t="inlineStr">
        <is>
          <t>1.8</t>
        </is>
      </c>
    </row>
    <row r="12">
      <c r="A12" t="inlineStr">
        <is>
          <t>Grizzly XL YO</t>
        </is>
      </c>
      <c r="B12" t="inlineStr">
        <is>
          <t>Master Model G10 Grizzly XL_TwoAge_5a_6a_14b_15a_B03</t>
        </is>
      </c>
      <c r="C12" t="inlineStr">
        <is>
          <t>JAGS_Male_2000</t>
        </is>
      </c>
      <c r="D12" t="n">
        <v>0.1</v>
      </c>
      <c r="E12" t="inlineStr">
        <is>
          <t>Variable</t>
        </is>
      </c>
      <c r="F12" t="inlineStr">
        <is>
          <t>Smoking initiation and cessation variable</t>
        </is>
      </c>
      <c r="G12" t="inlineStr">
        <is>
          <t>68 - 72</t>
        </is>
      </c>
      <c r="H12" t="inlineStr">
        <is>
          <t>DIFF_ALL</t>
        </is>
      </c>
      <c r="I12" s="10" t="n">
        <v>1337</v>
      </c>
      <c r="J12">
        <f>B12&amp;D12&amp;C12</f>
        <v/>
      </c>
      <c r="K12" s="10" t="n">
        <v>1337</v>
      </c>
      <c r="L12" s="10">
        <f>ROUND(IF(ISNUMBER(SEARCH("Relapse",J12)),_xlfn.XLOOKUP(J12,'Pivot and Calcs'!A:A,'Pivot and Calcs'!T:T),I12),0)</f>
        <v/>
      </c>
      <c r="M12" t="n">
        <v>0.01</v>
      </c>
      <c r="N12" t="n">
        <v>0.009999999776482582</v>
      </c>
      <c r="O12" s="43" t="n">
        <v>46254.03570530093</v>
      </c>
      <c r="P12" t="inlineStr">
        <is>
          <t>3.0.0</t>
        </is>
      </c>
      <c r="Q12" t="inlineStr">
        <is>
          <t>1.8</t>
        </is>
      </c>
    </row>
    <row r="13">
      <c r="A13" t="inlineStr">
        <is>
          <t>Grizzly XL YO</t>
        </is>
      </c>
      <c r="B13" t="inlineStr">
        <is>
          <t>Master Model G10 Grizzly XL_TwoAge_5a_6a_14b_15a_B03</t>
        </is>
      </c>
      <c r="C13" t="inlineStr">
        <is>
          <t>JAGS_Female_2000</t>
        </is>
      </c>
      <c r="D13" t="n">
        <v>0.05</v>
      </c>
      <c r="E13" t="inlineStr">
        <is>
          <t>Variable</t>
        </is>
      </c>
      <c r="F13" t="inlineStr">
        <is>
          <t>Smoking initiation and cessation variable</t>
        </is>
      </c>
      <c r="G13" t="inlineStr">
        <is>
          <t>68 - 72</t>
        </is>
      </c>
      <c r="H13" t="inlineStr">
        <is>
          <t>DIFF_ALL</t>
        </is>
      </c>
      <c r="I13" s="10" t="n">
        <v>1279</v>
      </c>
      <c r="J13">
        <f>B13&amp;D13&amp;C13</f>
        <v/>
      </c>
      <c r="K13" s="10" t="n">
        <v>1279</v>
      </c>
      <c r="L13" s="10">
        <f>ROUND(IF(ISNUMBER(SEARCH("Relapse",J13)),_xlfn.XLOOKUP(J13,'Pivot and Calcs'!A:A,'Pivot and Calcs'!T:T),I13),0)</f>
        <v/>
      </c>
      <c r="M13" t="n">
        <v>0.01</v>
      </c>
      <c r="N13" t="n">
        <v>0.009999999776482582</v>
      </c>
      <c r="O13" s="43" t="n">
        <v>46254.0357053125</v>
      </c>
      <c r="P13" t="inlineStr">
        <is>
          <t>3.0.0</t>
        </is>
      </c>
      <c r="Q13" t="inlineStr">
        <is>
          <t>1.8</t>
        </is>
      </c>
    </row>
    <row r="14">
      <c r="A14" t="inlineStr">
        <is>
          <t>Grizzly XL YO</t>
        </is>
      </c>
      <c r="B14" t="inlineStr">
        <is>
          <t>Master Model G10 Grizzly XL_TwoAge_5a_6a_14b_15a_B03</t>
        </is>
      </c>
      <c r="C14" t="inlineStr">
        <is>
          <t>JAGS_Female_2000</t>
        </is>
      </c>
      <c r="D14" t="n">
        <v>0.1</v>
      </c>
      <c r="E14" t="inlineStr">
        <is>
          <t>Variable</t>
        </is>
      </c>
      <c r="F14" t="inlineStr">
        <is>
          <t>Smoking initiation and cessation variable</t>
        </is>
      </c>
      <c r="G14" t="inlineStr">
        <is>
          <t>68 - 72</t>
        </is>
      </c>
      <c r="H14" t="inlineStr">
        <is>
          <t>DIFF_ALL</t>
        </is>
      </c>
      <c r="I14" s="10" t="n">
        <v>1080</v>
      </c>
      <c r="J14">
        <f>B14&amp;D14&amp;C14</f>
        <v/>
      </c>
      <c r="K14" s="10" t="n">
        <v>1080</v>
      </c>
      <c r="L14" s="10">
        <f>ROUND(IF(ISNUMBER(SEARCH("Relapse",J14)),_xlfn.XLOOKUP(J14,'Pivot and Calcs'!A:A,'Pivot and Calcs'!T:T),I14),0)</f>
        <v/>
      </c>
      <c r="M14" t="n">
        <v>0.01</v>
      </c>
      <c r="N14" t="n">
        <v>0.009999999776482582</v>
      </c>
      <c r="O14" s="43" t="n">
        <v>46254.0357053125</v>
      </c>
      <c r="P14" t="inlineStr">
        <is>
          <t>3.0.0</t>
        </is>
      </c>
      <c r="Q14" t="inlineStr">
        <is>
          <t>1.8</t>
        </is>
      </c>
    </row>
    <row r="15">
      <c r="A15" t="inlineStr">
        <is>
          <t>Grizzly XL YO</t>
        </is>
      </c>
      <c r="B15" t="inlineStr">
        <is>
          <t>Master Model G10 Grizzly XL_TwoAge_5a_6a_14b_15a_B04</t>
        </is>
      </c>
      <c r="C15" t="inlineStr">
        <is>
          <t>JAGS_Male_2000</t>
        </is>
      </c>
      <c r="D15" t="n">
        <v>0.05</v>
      </c>
      <c r="E15" t="inlineStr">
        <is>
          <t>Variable</t>
        </is>
      </c>
      <c r="F15" t="inlineStr">
        <is>
          <t>Smoking initiation and cessation variable</t>
        </is>
      </c>
      <c r="G15" t="inlineStr">
        <is>
          <t>68 - 72</t>
        </is>
      </c>
      <c r="H15" t="inlineStr">
        <is>
          <t>DIFF_ALL</t>
        </is>
      </c>
      <c r="I15" s="10" t="n">
        <v>1052</v>
      </c>
      <c r="J15">
        <f>B15&amp;D15&amp;C15</f>
        <v/>
      </c>
      <c r="K15" s="10" t="n">
        <v>1052</v>
      </c>
      <c r="L15" s="10">
        <f>ROUND(IF(ISNUMBER(SEARCH("Relapse",J15)),_xlfn.XLOOKUP(J15,'Pivot and Calcs'!A:A,'Pivot and Calcs'!T:T),I15),0)</f>
        <v/>
      </c>
      <c r="M15" t="n">
        <v>0.01</v>
      </c>
      <c r="N15" t="n">
        <v>0.009999999776482582</v>
      </c>
      <c r="O15" s="43" t="n">
        <v>46254.0357053125</v>
      </c>
      <c r="P15" t="inlineStr">
        <is>
          <t>3.0.0</t>
        </is>
      </c>
      <c r="Q15" t="inlineStr">
        <is>
          <t>1.8</t>
        </is>
      </c>
    </row>
    <row r="16">
      <c r="A16" t="inlineStr">
        <is>
          <t>Grizzly XL YO</t>
        </is>
      </c>
      <c r="B16" t="inlineStr">
        <is>
          <t>Master Model G10 Grizzly XL_TwoAge_5a_6a_14b_15a_B04</t>
        </is>
      </c>
      <c r="C16" t="inlineStr">
        <is>
          <t>JAGS_Male_2000</t>
        </is>
      </c>
      <c r="D16" t="n">
        <v>0.1</v>
      </c>
      <c r="E16" t="inlineStr">
        <is>
          <t>Variable</t>
        </is>
      </c>
      <c r="F16" t="inlineStr">
        <is>
          <t>Smoking initiation and cessation variable</t>
        </is>
      </c>
      <c r="G16" t="inlineStr">
        <is>
          <t>68 - 72</t>
        </is>
      </c>
      <c r="H16" t="inlineStr">
        <is>
          <t>DIFF_ALL</t>
        </is>
      </c>
      <c r="I16" s="10" t="n">
        <v>948</v>
      </c>
      <c r="J16">
        <f>B16&amp;D16&amp;C16</f>
        <v/>
      </c>
      <c r="K16" s="10" t="n">
        <v>948</v>
      </c>
      <c r="L16" s="10">
        <f>ROUND(IF(ISNUMBER(SEARCH("Relapse",J16)),_xlfn.XLOOKUP(J16,'Pivot and Calcs'!A:A,'Pivot and Calcs'!T:T),I16),0)</f>
        <v/>
      </c>
      <c r="M16" t="n">
        <v>0.01</v>
      </c>
      <c r="N16" t="n">
        <v>0.009999999776482582</v>
      </c>
      <c r="O16" s="43" t="n">
        <v>46254.0357053125</v>
      </c>
      <c r="P16" t="inlineStr">
        <is>
          <t>3.0.0</t>
        </is>
      </c>
      <c r="Q16" t="inlineStr">
        <is>
          <t>1.8</t>
        </is>
      </c>
    </row>
    <row r="17">
      <c r="A17" t="inlineStr">
        <is>
          <t>Grizzly XL YO</t>
        </is>
      </c>
      <c r="B17" t="inlineStr">
        <is>
          <t>Master Model G10 Grizzly XL_TwoAge_5a_6a_14b_15a_B04</t>
        </is>
      </c>
      <c r="C17" t="inlineStr">
        <is>
          <t>JAGS_Female_2000</t>
        </is>
      </c>
      <c r="D17" t="n">
        <v>0.05</v>
      </c>
      <c r="E17" t="inlineStr">
        <is>
          <t>Variable</t>
        </is>
      </c>
      <c r="F17" t="inlineStr">
        <is>
          <t>Smoking initiation and cessation variable</t>
        </is>
      </c>
      <c r="G17" t="inlineStr">
        <is>
          <t>68 - 72</t>
        </is>
      </c>
      <c r="H17" t="inlineStr">
        <is>
          <t>DIFF_ALL</t>
        </is>
      </c>
      <c r="I17" s="10" t="n">
        <v>853</v>
      </c>
      <c r="J17">
        <f>B17&amp;D17&amp;C17</f>
        <v/>
      </c>
      <c r="K17" s="10" t="n">
        <v>853</v>
      </c>
      <c r="L17" s="10">
        <f>ROUND(IF(ISNUMBER(SEARCH("Relapse",J17)),_xlfn.XLOOKUP(J17,'Pivot and Calcs'!A:A,'Pivot and Calcs'!T:T),I17),0)</f>
        <v/>
      </c>
      <c r="M17" t="n">
        <v>0.01</v>
      </c>
      <c r="N17" t="n">
        <v>0.009999999776482582</v>
      </c>
      <c r="O17" s="43" t="n">
        <v>46254.0357053125</v>
      </c>
      <c r="P17" t="inlineStr">
        <is>
          <t>3.0.0</t>
        </is>
      </c>
      <c r="Q17" t="inlineStr">
        <is>
          <t>1.8</t>
        </is>
      </c>
    </row>
    <row r="18">
      <c r="A18" t="inlineStr">
        <is>
          <t>Grizzly XL YO</t>
        </is>
      </c>
      <c r="B18" t="inlineStr">
        <is>
          <t>Master Model G10 Grizzly XL_TwoAge_5a_6a_14b_15a_B04</t>
        </is>
      </c>
      <c r="C18" t="inlineStr">
        <is>
          <t>JAGS_Female_2000</t>
        </is>
      </c>
      <c r="D18" t="n">
        <v>0.1</v>
      </c>
      <c r="E18" t="inlineStr">
        <is>
          <t>Variable</t>
        </is>
      </c>
      <c r="F18" t="inlineStr">
        <is>
          <t>Smoking initiation and cessation variable</t>
        </is>
      </c>
      <c r="G18" t="inlineStr">
        <is>
          <t>68 - 72</t>
        </is>
      </c>
      <c r="H18" t="inlineStr">
        <is>
          <t>DIFF_ALL</t>
        </is>
      </c>
      <c r="I18" s="10" t="n">
        <v>772</v>
      </c>
      <c r="J18">
        <f>B18&amp;D18&amp;C18</f>
        <v/>
      </c>
      <c r="K18" s="10" t="n">
        <v>772</v>
      </c>
      <c r="L18" s="10">
        <f>ROUND(IF(ISNUMBER(SEARCH("Relapse",J18)),_xlfn.XLOOKUP(J18,'Pivot and Calcs'!A:A,'Pivot and Calcs'!T:T),I18),0)</f>
        <v/>
      </c>
      <c r="M18" t="n">
        <v>0.01</v>
      </c>
      <c r="N18" t="n">
        <v>0.009999999776482582</v>
      </c>
      <c r="O18" s="43" t="n">
        <v>46254.0357053125</v>
      </c>
      <c r="P18" t="inlineStr">
        <is>
          <t>3.0.0</t>
        </is>
      </c>
      <c r="Q18" t="inlineStr">
        <is>
          <t>1.8</t>
        </is>
      </c>
    </row>
    <row r="19">
      <c r="A19" t="inlineStr">
        <is>
          <t>Grizzly XL YO</t>
        </is>
      </c>
      <c r="B19" t="inlineStr">
        <is>
          <t>Master Model G10 Grizzly XL_TwoAge_5a_6a_14b_15a_B05</t>
        </is>
      </c>
      <c r="C19" t="inlineStr">
        <is>
          <t>JAGS_Male_2000</t>
        </is>
      </c>
      <c r="D19" t="n">
        <v>0.05</v>
      </c>
      <c r="E19" t="inlineStr">
        <is>
          <t>Variable</t>
        </is>
      </c>
      <c r="F19" t="inlineStr">
        <is>
          <t>Smoking initiation and cessation variable</t>
        </is>
      </c>
      <c r="G19" t="inlineStr">
        <is>
          <t>68 - 72</t>
        </is>
      </c>
      <c r="H19" t="inlineStr">
        <is>
          <t>DIFF_ALL</t>
        </is>
      </c>
      <c r="I19" s="10" t="n">
        <v>716</v>
      </c>
      <c r="J19">
        <f>B19&amp;D19&amp;C19</f>
        <v/>
      </c>
      <c r="K19" s="10" t="n">
        <v>716</v>
      </c>
      <c r="L19" s="10">
        <f>ROUND(IF(ISNUMBER(SEARCH("Relapse",J19)),_xlfn.XLOOKUP(J19,'Pivot and Calcs'!A:A,'Pivot and Calcs'!T:T),I19),0)</f>
        <v/>
      </c>
      <c r="M19" t="n">
        <v>0.01</v>
      </c>
      <c r="N19" t="n">
        <v>0.009999999776482582</v>
      </c>
      <c r="O19" s="43" t="n">
        <v>46254.0357053125</v>
      </c>
      <c r="P19" t="inlineStr">
        <is>
          <t>3.0.0</t>
        </is>
      </c>
      <c r="Q19" t="inlineStr">
        <is>
          <t>1.8</t>
        </is>
      </c>
    </row>
    <row r="20">
      <c r="A20" t="inlineStr">
        <is>
          <t>Grizzly XL YO</t>
        </is>
      </c>
      <c r="B20" t="inlineStr">
        <is>
          <t>Master Model G10 Grizzly XL_TwoAge_5a_6a_14b_15a_B05</t>
        </is>
      </c>
      <c r="C20" t="inlineStr">
        <is>
          <t>JAGS_Male_2000</t>
        </is>
      </c>
      <c r="D20" t="n">
        <v>0.1</v>
      </c>
      <c r="E20" t="inlineStr">
        <is>
          <t>Variable</t>
        </is>
      </c>
      <c r="F20" t="inlineStr">
        <is>
          <t>Smoking initiation and cessation variable</t>
        </is>
      </c>
      <c r="G20" t="inlineStr">
        <is>
          <t>68 - 72</t>
        </is>
      </c>
      <c r="H20" t="inlineStr">
        <is>
          <t>DIFF_ALL</t>
        </is>
      </c>
      <c r="I20" s="10" t="n">
        <v>650</v>
      </c>
      <c r="J20">
        <f>B20&amp;D20&amp;C20</f>
        <v/>
      </c>
      <c r="K20" s="10" t="n">
        <v>650</v>
      </c>
      <c r="L20" s="10">
        <f>ROUND(IF(ISNUMBER(SEARCH("Relapse",J20)),_xlfn.XLOOKUP(J20,'Pivot and Calcs'!A:A,'Pivot and Calcs'!T:T),I20),0)</f>
        <v/>
      </c>
      <c r="M20" t="n">
        <v>0.01</v>
      </c>
      <c r="N20" t="n">
        <v>0.009999999776482582</v>
      </c>
      <c r="O20" s="43" t="n">
        <v>46254.0357053125</v>
      </c>
      <c r="P20" t="inlineStr">
        <is>
          <t>3.0.0</t>
        </is>
      </c>
      <c r="Q20" t="inlineStr">
        <is>
          <t>1.8</t>
        </is>
      </c>
    </row>
    <row r="21">
      <c r="A21" t="inlineStr">
        <is>
          <t>Grizzly XL YO</t>
        </is>
      </c>
      <c r="B21" t="inlineStr">
        <is>
          <t>Master Model G10 Grizzly XL_TwoAge_5a_6a_14b_15a_B05</t>
        </is>
      </c>
      <c r="C21" t="inlineStr">
        <is>
          <t>JAGS_Female_2000</t>
        </is>
      </c>
      <c r="D21" t="n">
        <v>0.05</v>
      </c>
      <c r="E21" t="inlineStr">
        <is>
          <t>Variable</t>
        </is>
      </c>
      <c r="F21" t="inlineStr">
        <is>
          <t>Smoking initiation and cessation variable</t>
        </is>
      </c>
      <c r="G21" t="inlineStr">
        <is>
          <t>68 - 72</t>
        </is>
      </c>
      <c r="H21" t="inlineStr">
        <is>
          <t>DIFF_ALL</t>
        </is>
      </c>
      <c r="I21" s="10" t="n">
        <v>596</v>
      </c>
      <c r="J21">
        <f>B21&amp;D21&amp;C21</f>
        <v/>
      </c>
      <c r="K21" s="10" t="n">
        <v>596</v>
      </c>
      <c r="L21" s="10">
        <f>ROUND(IF(ISNUMBER(SEARCH("Relapse",J21)),_xlfn.XLOOKUP(J21,'Pivot and Calcs'!A:A,'Pivot and Calcs'!T:T),I21),0)</f>
        <v/>
      </c>
      <c r="M21" t="n">
        <v>0.01</v>
      </c>
      <c r="N21" t="n">
        <v>0.009999999776482582</v>
      </c>
      <c r="O21" s="43" t="n">
        <v>46254.0357053125</v>
      </c>
      <c r="P21" t="inlineStr">
        <is>
          <t>3.0.0</t>
        </is>
      </c>
      <c r="Q21" t="inlineStr">
        <is>
          <t>1.8</t>
        </is>
      </c>
    </row>
    <row r="22">
      <c r="A22" t="inlineStr">
        <is>
          <t>Grizzly XL YO</t>
        </is>
      </c>
      <c r="B22" t="inlineStr">
        <is>
          <t>Master Model G10 Grizzly XL_TwoAge_5a_6a_14b_15a_B05</t>
        </is>
      </c>
      <c r="C22" t="inlineStr">
        <is>
          <t>JAGS_Female_2000</t>
        </is>
      </c>
      <c r="D22" t="n">
        <v>0.1</v>
      </c>
      <c r="E22" t="inlineStr">
        <is>
          <t>Variable</t>
        </is>
      </c>
      <c r="F22" t="inlineStr">
        <is>
          <t>Smoking initiation and cessation variable</t>
        </is>
      </c>
      <c r="G22" t="inlineStr">
        <is>
          <t>68 - 72</t>
        </is>
      </c>
      <c r="H22" t="inlineStr">
        <is>
          <t>DIFF_ALL</t>
        </is>
      </c>
      <c r="I22" s="10" t="n">
        <v>542</v>
      </c>
      <c r="J22">
        <f>B22&amp;D22&amp;C22</f>
        <v/>
      </c>
      <c r="K22" s="10" t="n">
        <v>542</v>
      </c>
      <c r="L22" s="10">
        <f>ROUND(IF(ISNUMBER(SEARCH("Relapse",J22)),_xlfn.XLOOKUP(J22,'Pivot and Calcs'!A:A,'Pivot and Calcs'!T:T),I22),0)</f>
        <v/>
      </c>
      <c r="M22" t="n">
        <v>0.01</v>
      </c>
      <c r="N22" t="n">
        <v>0.009999999776482582</v>
      </c>
      <c r="O22" s="43" t="n">
        <v>46254.0357053125</v>
      </c>
      <c r="P22" t="inlineStr">
        <is>
          <t>3.0.0</t>
        </is>
      </c>
      <c r="Q22" t="inlineStr">
        <is>
          <t>1.8</t>
        </is>
      </c>
    </row>
    <row r="23">
      <c r="A23" t="inlineStr">
        <is>
          <t>Grizzly XL YO</t>
        </is>
      </c>
      <c r="B23" t="inlineStr">
        <is>
          <t>Master Model G10 Grizzly XL_TwoAge_5a_6a_14b_15a_B06</t>
        </is>
      </c>
      <c r="C23" t="inlineStr">
        <is>
          <t>JAGS_Male_2000</t>
        </is>
      </c>
      <c r="D23" t="n">
        <v>0.05</v>
      </c>
      <c r="E23" t="inlineStr">
        <is>
          <t>Variable</t>
        </is>
      </c>
      <c r="F23" t="inlineStr">
        <is>
          <t>Smoking initiation and cessation variable</t>
        </is>
      </c>
      <c r="G23" t="inlineStr">
        <is>
          <t>68 - 72</t>
        </is>
      </c>
      <c r="H23" t="inlineStr">
        <is>
          <t>DIFF_ALL</t>
        </is>
      </c>
      <c r="I23" s="10" t="n">
        <v>483</v>
      </c>
      <c r="J23">
        <f>B23&amp;D23&amp;C23</f>
        <v/>
      </c>
      <c r="K23" s="10" t="n">
        <v>483</v>
      </c>
      <c r="L23" s="10">
        <f>ROUND(IF(ISNUMBER(SEARCH("Relapse",J23)),_xlfn.XLOOKUP(J23,'Pivot and Calcs'!A:A,'Pivot and Calcs'!T:T),I23),0)</f>
        <v/>
      </c>
      <c r="M23" t="n">
        <v>0.01</v>
      </c>
      <c r="N23" t="n">
        <v>0.009999999776482582</v>
      </c>
      <c r="O23" s="43" t="n">
        <v>46254.0357053125</v>
      </c>
      <c r="P23" t="inlineStr">
        <is>
          <t>3.0.0</t>
        </is>
      </c>
      <c r="Q23" t="inlineStr">
        <is>
          <t>1.8</t>
        </is>
      </c>
    </row>
    <row r="24">
      <c r="A24" t="inlineStr">
        <is>
          <t>Grizzly XL YO</t>
        </is>
      </c>
      <c r="B24" t="inlineStr">
        <is>
          <t>Master Model G10 Grizzly XL_TwoAge_5a_6a_14b_15a_B06</t>
        </is>
      </c>
      <c r="C24" t="inlineStr">
        <is>
          <t>JAGS_Male_2000</t>
        </is>
      </c>
      <c r="D24" t="n">
        <v>0.1</v>
      </c>
      <c r="E24" t="inlineStr">
        <is>
          <t>Variable</t>
        </is>
      </c>
      <c r="F24" t="inlineStr">
        <is>
          <t>Smoking initiation and cessation variable</t>
        </is>
      </c>
      <c r="G24" t="inlineStr">
        <is>
          <t>68 - 72</t>
        </is>
      </c>
      <c r="H24" t="inlineStr">
        <is>
          <t>DIFF_ALL</t>
        </is>
      </c>
      <c r="I24" s="10" t="n">
        <v>439</v>
      </c>
      <c r="J24">
        <f>B24&amp;D24&amp;C24</f>
        <v/>
      </c>
      <c r="K24" s="10" t="n">
        <v>439</v>
      </c>
      <c r="L24" s="10">
        <f>ROUND(IF(ISNUMBER(SEARCH("Relapse",J24)),_xlfn.XLOOKUP(J24,'Pivot and Calcs'!A:A,'Pivot and Calcs'!T:T),I24),0)</f>
        <v/>
      </c>
      <c r="M24" t="n">
        <v>0.01</v>
      </c>
      <c r="N24" t="n">
        <v>0.009999999776482582</v>
      </c>
      <c r="O24" s="43" t="n">
        <v>46254.0357053125</v>
      </c>
      <c r="P24" t="inlineStr">
        <is>
          <t>3.0.0</t>
        </is>
      </c>
      <c r="Q24" t="inlineStr">
        <is>
          <t>1.8</t>
        </is>
      </c>
    </row>
    <row r="25">
      <c r="A25" t="inlineStr">
        <is>
          <t>Grizzly XL YO</t>
        </is>
      </c>
      <c r="B25" t="inlineStr">
        <is>
          <t>Master Model G10 Grizzly XL_TwoAge_5a_6a_14b_15a_B06</t>
        </is>
      </c>
      <c r="C25" t="inlineStr">
        <is>
          <t>JAGS_Female_2000</t>
        </is>
      </c>
      <c r="D25" t="n">
        <v>0.05</v>
      </c>
      <c r="E25" t="inlineStr">
        <is>
          <t>Variable</t>
        </is>
      </c>
      <c r="F25" t="inlineStr">
        <is>
          <t>Smoking initiation and cessation variable</t>
        </is>
      </c>
      <c r="G25" t="inlineStr">
        <is>
          <t>68 - 72</t>
        </is>
      </c>
      <c r="H25" t="inlineStr">
        <is>
          <t>DIFF_ALL</t>
        </is>
      </c>
      <c r="I25" s="10" t="n">
        <v>412</v>
      </c>
      <c r="J25">
        <f>B25&amp;D25&amp;C25</f>
        <v/>
      </c>
      <c r="K25" s="10" t="n">
        <v>412</v>
      </c>
      <c r="L25" s="10">
        <f>ROUND(IF(ISNUMBER(SEARCH("Relapse",J25)),_xlfn.XLOOKUP(J25,'Pivot and Calcs'!A:A,'Pivot and Calcs'!T:T),I25),0)</f>
        <v/>
      </c>
      <c r="M25" t="n">
        <v>0.01</v>
      </c>
      <c r="N25" t="n">
        <v>0.009999999776482582</v>
      </c>
      <c r="O25" s="43" t="n">
        <v>46254.0357053125</v>
      </c>
      <c r="P25" t="inlineStr">
        <is>
          <t>3.0.0</t>
        </is>
      </c>
      <c r="Q25" t="inlineStr">
        <is>
          <t>1.8</t>
        </is>
      </c>
    </row>
    <row r="26">
      <c r="A26" t="inlineStr">
        <is>
          <t>Grizzly XL YO</t>
        </is>
      </c>
      <c r="B26" t="inlineStr">
        <is>
          <t>Master Model G10 Grizzly XL_TwoAge_5a_6a_14b_15a_B06</t>
        </is>
      </c>
      <c r="C26" t="inlineStr">
        <is>
          <t>JAGS_Female_2000</t>
        </is>
      </c>
      <c r="D26" t="n">
        <v>0.1</v>
      </c>
      <c r="E26" t="inlineStr">
        <is>
          <t>Variable</t>
        </is>
      </c>
      <c r="F26" t="inlineStr">
        <is>
          <t>Smoking initiation and cessation variable</t>
        </is>
      </c>
      <c r="G26" t="inlineStr">
        <is>
          <t>68 - 72</t>
        </is>
      </c>
      <c r="H26" t="inlineStr">
        <is>
          <t>DIFF_ALL</t>
        </is>
      </c>
      <c r="I26" s="10" t="n">
        <v>375</v>
      </c>
      <c r="J26">
        <f>B26&amp;D26&amp;C26</f>
        <v/>
      </c>
      <c r="K26" s="10" t="n">
        <v>375</v>
      </c>
      <c r="L26" s="10">
        <f>ROUND(IF(ISNUMBER(SEARCH("Relapse",J26)),_xlfn.XLOOKUP(J26,'Pivot and Calcs'!A:A,'Pivot and Calcs'!T:T),I26),0)</f>
        <v/>
      </c>
      <c r="M26" t="n">
        <v>0.01</v>
      </c>
      <c r="N26" t="n">
        <v>0.009999999776482582</v>
      </c>
      <c r="O26" s="43" t="n">
        <v>46254.0357053125</v>
      </c>
      <c r="P26" t="inlineStr">
        <is>
          <t>3.0.0</t>
        </is>
      </c>
      <c r="Q26" t="inlineStr">
        <is>
          <t>1.8</t>
        </is>
      </c>
    </row>
    <row r="27">
      <c r="A27" t="inlineStr">
        <is>
          <t>Grizzly XL YO</t>
        </is>
      </c>
      <c r="B27" t="inlineStr">
        <is>
          <t>Master Model G10 Grizzly XL_TwoAge_5a_6a_14b_15a_B07</t>
        </is>
      </c>
      <c r="C27" t="inlineStr">
        <is>
          <t>JAGS_Male_2000</t>
        </is>
      </c>
      <c r="D27" t="n">
        <v>0.05</v>
      </c>
      <c r="E27" t="inlineStr">
        <is>
          <t>Variable</t>
        </is>
      </c>
      <c r="F27" t="inlineStr">
        <is>
          <t>Smoking initiation and cessation variable</t>
        </is>
      </c>
      <c r="G27" t="inlineStr">
        <is>
          <t>68 - 72</t>
        </is>
      </c>
      <c r="H27" t="inlineStr">
        <is>
          <t>DIFF_ALL</t>
        </is>
      </c>
      <c r="I27" s="10" t="n">
        <v>241</v>
      </c>
      <c r="J27">
        <f>B27&amp;D27&amp;C27</f>
        <v/>
      </c>
      <c r="K27" s="10" t="n">
        <v>241</v>
      </c>
      <c r="L27" s="10">
        <f>ROUND(IF(ISNUMBER(SEARCH("Relapse",J27)),_xlfn.XLOOKUP(J27,'Pivot and Calcs'!A:A,'Pivot and Calcs'!T:T),I27),0)</f>
        <v/>
      </c>
      <c r="M27" t="n">
        <v>0.01</v>
      </c>
      <c r="N27" t="n">
        <v>0.009999999776482582</v>
      </c>
      <c r="O27" s="43" t="n">
        <v>46254.0357053125</v>
      </c>
      <c r="P27" t="inlineStr">
        <is>
          <t>3.0.0</t>
        </is>
      </c>
      <c r="Q27" t="inlineStr">
        <is>
          <t>1.8</t>
        </is>
      </c>
    </row>
    <row r="28">
      <c r="A28" t="inlineStr">
        <is>
          <t>Grizzly XL YO</t>
        </is>
      </c>
      <c r="B28" t="inlineStr">
        <is>
          <t>Master Model G10 Grizzly XL_TwoAge_5a_6a_14b_15a_B07</t>
        </is>
      </c>
      <c r="C28" t="inlineStr">
        <is>
          <t>JAGS_Male_2000</t>
        </is>
      </c>
      <c r="D28" t="n">
        <v>0.1</v>
      </c>
      <c r="E28" t="inlineStr">
        <is>
          <t>Variable</t>
        </is>
      </c>
      <c r="F28" t="inlineStr">
        <is>
          <t>Smoking initiation and cessation variable</t>
        </is>
      </c>
      <c r="G28" t="inlineStr">
        <is>
          <t>68 - 72</t>
        </is>
      </c>
      <c r="H28" t="inlineStr">
        <is>
          <t>DIFF_ALL</t>
        </is>
      </c>
      <c r="I28" s="10" t="n">
        <v>220</v>
      </c>
      <c r="J28">
        <f>B28&amp;D28&amp;C28</f>
        <v/>
      </c>
      <c r="K28" s="10" t="n">
        <v>220</v>
      </c>
      <c r="L28" s="10">
        <f>ROUND(IF(ISNUMBER(SEARCH("Relapse",J28)),_xlfn.XLOOKUP(J28,'Pivot and Calcs'!A:A,'Pivot and Calcs'!T:T),I28),0)</f>
        <v/>
      </c>
      <c r="M28" t="n">
        <v>0.01</v>
      </c>
      <c r="N28" t="n">
        <v>0.009999999776482582</v>
      </c>
      <c r="O28" s="43" t="n">
        <v>46254.0357053125</v>
      </c>
      <c r="P28" t="inlineStr">
        <is>
          <t>3.0.0</t>
        </is>
      </c>
      <c r="Q28" t="inlineStr">
        <is>
          <t>1.8</t>
        </is>
      </c>
    </row>
    <row r="29">
      <c r="A29" t="inlineStr">
        <is>
          <t>Grizzly XL YO</t>
        </is>
      </c>
      <c r="B29" t="inlineStr">
        <is>
          <t>Master Model G10 Grizzly XL_TwoAge_5a_6a_14b_15a_B07</t>
        </is>
      </c>
      <c r="C29" t="inlineStr">
        <is>
          <t>JAGS_Female_2000</t>
        </is>
      </c>
      <c r="D29" t="n">
        <v>0.05</v>
      </c>
      <c r="E29" t="inlineStr">
        <is>
          <t>Variable</t>
        </is>
      </c>
      <c r="F29" t="inlineStr">
        <is>
          <t>Smoking initiation and cessation variable</t>
        </is>
      </c>
      <c r="G29" t="inlineStr">
        <is>
          <t>68 - 72</t>
        </is>
      </c>
      <c r="H29" t="inlineStr">
        <is>
          <t>DIFF_ALL</t>
        </is>
      </c>
      <c r="I29" s="10" t="n">
        <v>211</v>
      </c>
      <c r="J29">
        <f>B29&amp;D29&amp;C29</f>
        <v/>
      </c>
      <c r="K29" s="10" t="n">
        <v>211</v>
      </c>
      <c r="L29" s="10">
        <f>ROUND(IF(ISNUMBER(SEARCH("Relapse",J29)),_xlfn.XLOOKUP(J29,'Pivot and Calcs'!A:A,'Pivot and Calcs'!T:T),I29),0)</f>
        <v/>
      </c>
      <c r="M29" t="n">
        <v>0.01</v>
      </c>
      <c r="N29" t="n">
        <v>0.009999999776482582</v>
      </c>
      <c r="O29" s="43" t="n">
        <v>46254.0357053125</v>
      </c>
      <c r="P29" t="inlineStr">
        <is>
          <t>3.0.0</t>
        </is>
      </c>
      <c r="Q29" t="inlineStr">
        <is>
          <t>1.8</t>
        </is>
      </c>
    </row>
    <row r="30">
      <c r="A30" t="inlineStr">
        <is>
          <t>Grizzly XL YO</t>
        </is>
      </c>
      <c r="B30" t="inlineStr">
        <is>
          <t>Master Model G10 Grizzly XL_TwoAge_5a_6a_14b_15a_B07</t>
        </is>
      </c>
      <c r="C30" t="inlineStr">
        <is>
          <t>JAGS_Female_2000</t>
        </is>
      </c>
      <c r="D30" t="n">
        <v>0.1</v>
      </c>
      <c r="E30" t="inlineStr">
        <is>
          <t>Variable</t>
        </is>
      </c>
      <c r="F30" t="inlineStr">
        <is>
          <t>Smoking initiation and cessation variable</t>
        </is>
      </c>
      <c r="G30" t="inlineStr">
        <is>
          <t>68 - 72</t>
        </is>
      </c>
      <c r="H30" t="inlineStr">
        <is>
          <t>DIFF_ALL</t>
        </is>
      </c>
      <c r="I30" s="10" t="n">
        <v>193</v>
      </c>
      <c r="J30">
        <f>B30&amp;D30&amp;C30</f>
        <v/>
      </c>
      <c r="K30" s="10" t="n">
        <v>193</v>
      </c>
      <c r="L30" s="10">
        <f>ROUND(IF(ISNUMBER(SEARCH("Relapse",J30)),_xlfn.XLOOKUP(J30,'Pivot and Calcs'!A:A,'Pivot and Calcs'!T:T),I30),0)</f>
        <v/>
      </c>
      <c r="M30" t="n">
        <v>0.01</v>
      </c>
      <c r="N30" t="n">
        <v>0.009999999776482582</v>
      </c>
      <c r="O30" s="43" t="n">
        <v>46254.0357053125</v>
      </c>
      <c r="P30" t="inlineStr">
        <is>
          <t>3.0.0</t>
        </is>
      </c>
      <c r="Q30" t="inlineStr">
        <is>
          <t>1.8</t>
        </is>
      </c>
    </row>
    <row r="31">
      <c r="A31" t="inlineStr">
        <is>
          <t>Grizzly XL YO</t>
        </is>
      </c>
      <c r="B31" t="inlineStr">
        <is>
          <t>Master Model G10 Grizzly XL_TwoAge_5a_6a_14b_15a_B08</t>
        </is>
      </c>
      <c r="C31" t="inlineStr">
        <is>
          <t>JAGS_Male_2000</t>
        </is>
      </c>
      <c r="D31" t="n">
        <v>0.05</v>
      </c>
      <c r="E31" t="inlineStr">
        <is>
          <t>Variable</t>
        </is>
      </c>
      <c r="F31" t="inlineStr">
        <is>
          <t>Smoking initiation and cessation variable</t>
        </is>
      </c>
      <c r="G31" t="inlineStr">
        <is>
          <t>68 - 72</t>
        </is>
      </c>
      <c r="H31" t="inlineStr">
        <is>
          <t>DIFF_ALL</t>
        </is>
      </c>
      <c r="I31" s="10" t="n">
        <v>80</v>
      </c>
      <c r="J31">
        <f>B31&amp;D31&amp;C31</f>
        <v/>
      </c>
      <c r="K31" s="10" t="n">
        <v>80</v>
      </c>
      <c r="L31" s="10">
        <f>ROUND(IF(ISNUMBER(SEARCH("Relapse",J31)),_xlfn.XLOOKUP(J31,'Pivot and Calcs'!A:A,'Pivot and Calcs'!T:T),I31),0)</f>
        <v/>
      </c>
      <c r="M31" t="n">
        <v>0.01</v>
      </c>
      <c r="N31" t="n">
        <v>0.009999999776482582</v>
      </c>
      <c r="O31" s="43" t="n">
        <v>46254.0357053125</v>
      </c>
      <c r="P31" t="inlineStr">
        <is>
          <t>3.0.0</t>
        </is>
      </c>
      <c r="Q31" t="inlineStr">
        <is>
          <t>1.8</t>
        </is>
      </c>
    </row>
    <row r="32">
      <c r="A32" t="inlineStr">
        <is>
          <t>Grizzly XL YO</t>
        </is>
      </c>
      <c r="B32" t="inlineStr">
        <is>
          <t>Master Model G10 Grizzly XL_TwoAge_5a_6a_14b_15a_B08</t>
        </is>
      </c>
      <c r="C32" t="inlineStr">
        <is>
          <t>JAGS_Male_2000</t>
        </is>
      </c>
      <c r="D32" t="n">
        <v>0.1</v>
      </c>
      <c r="E32" t="inlineStr">
        <is>
          <t>Variable</t>
        </is>
      </c>
      <c r="F32" t="inlineStr">
        <is>
          <t>Smoking initiation and cessation variable</t>
        </is>
      </c>
      <c r="G32" t="inlineStr">
        <is>
          <t>68 - 72</t>
        </is>
      </c>
      <c r="H32" t="inlineStr">
        <is>
          <t>DIFF_ALL</t>
        </is>
      </c>
      <c r="I32" s="10" t="n">
        <v>73</v>
      </c>
      <c r="J32">
        <f>B32&amp;D32&amp;C32</f>
        <v/>
      </c>
      <c r="K32" s="10" t="n">
        <v>73</v>
      </c>
      <c r="L32" s="10">
        <f>ROUND(IF(ISNUMBER(SEARCH("Relapse",J32)),_xlfn.XLOOKUP(J32,'Pivot and Calcs'!A:A,'Pivot and Calcs'!T:T),I32),0)</f>
        <v/>
      </c>
      <c r="M32" t="n">
        <v>0.01</v>
      </c>
      <c r="N32" t="n">
        <v>0.009999999776482582</v>
      </c>
      <c r="O32" s="43" t="n">
        <v>46254.0357053125</v>
      </c>
      <c r="P32" t="inlineStr">
        <is>
          <t>3.0.0</t>
        </is>
      </c>
      <c r="Q32" t="inlineStr">
        <is>
          <t>1.8</t>
        </is>
      </c>
    </row>
    <row r="33">
      <c r="A33" t="inlineStr">
        <is>
          <t>Grizzly XL YO</t>
        </is>
      </c>
      <c r="B33" t="inlineStr">
        <is>
          <t>Master Model G10 Grizzly XL_TwoAge_5a_6a_14b_15a_B08</t>
        </is>
      </c>
      <c r="C33" t="inlineStr">
        <is>
          <t>JAGS_Female_2000</t>
        </is>
      </c>
      <c r="D33" t="n">
        <v>0.05</v>
      </c>
      <c r="E33" t="inlineStr">
        <is>
          <t>Variable</t>
        </is>
      </c>
      <c r="F33" t="inlineStr">
        <is>
          <t>Smoking initiation and cessation variable</t>
        </is>
      </c>
      <c r="G33" t="inlineStr">
        <is>
          <t>68 - 72</t>
        </is>
      </c>
      <c r="H33" t="inlineStr">
        <is>
          <t>DIFF_ALL</t>
        </is>
      </c>
      <c r="I33" s="10" t="n">
        <v>72</v>
      </c>
      <c r="J33">
        <f>B33&amp;D33&amp;C33</f>
        <v/>
      </c>
      <c r="K33" s="10" t="n">
        <v>72</v>
      </c>
      <c r="L33" s="10">
        <f>ROUND(IF(ISNUMBER(SEARCH("Relapse",J33)),_xlfn.XLOOKUP(J33,'Pivot and Calcs'!A:A,'Pivot and Calcs'!T:T),I33),0)</f>
        <v/>
      </c>
      <c r="M33" t="n">
        <v>0.01</v>
      </c>
      <c r="N33" t="n">
        <v>0.009999999776482582</v>
      </c>
      <c r="O33" s="43" t="n">
        <v>46254.0357053125</v>
      </c>
      <c r="P33" t="inlineStr">
        <is>
          <t>3.0.0</t>
        </is>
      </c>
      <c r="Q33" t="inlineStr">
        <is>
          <t>1.8</t>
        </is>
      </c>
    </row>
    <row r="34">
      <c r="A34" t="inlineStr">
        <is>
          <t>Grizzly XL YO</t>
        </is>
      </c>
      <c r="B34" t="inlineStr">
        <is>
          <t>Master Model G10 Grizzly XL_TwoAge_5a_6a_14b_15a_B08</t>
        </is>
      </c>
      <c r="C34" t="inlineStr">
        <is>
          <t>JAGS_Female_2000</t>
        </is>
      </c>
      <c r="D34" t="n">
        <v>0.1</v>
      </c>
      <c r="E34" t="inlineStr">
        <is>
          <t>Variable</t>
        </is>
      </c>
      <c r="F34" t="inlineStr">
        <is>
          <t>Smoking initiation and cessation variable</t>
        </is>
      </c>
      <c r="G34" t="inlineStr">
        <is>
          <t>68 - 72</t>
        </is>
      </c>
      <c r="H34" t="inlineStr">
        <is>
          <t>DIFF_ALL</t>
        </is>
      </c>
      <c r="I34" s="10" t="n">
        <v>66</v>
      </c>
      <c r="J34">
        <f>B34&amp;D34&amp;C34</f>
        <v/>
      </c>
      <c r="K34" s="10" t="n">
        <v>66</v>
      </c>
      <c r="L34" s="10">
        <f>ROUND(IF(ISNUMBER(SEARCH("Relapse",J34)),_xlfn.XLOOKUP(J34,'Pivot and Calcs'!A:A,'Pivot and Calcs'!T:T),I34),0)</f>
        <v/>
      </c>
      <c r="M34" t="n">
        <v>0.01</v>
      </c>
      <c r="N34" t="n">
        <v>0.009999999776482582</v>
      </c>
      <c r="O34" s="43" t="n">
        <v>46254.0357053125</v>
      </c>
      <c r="P34" t="inlineStr">
        <is>
          <t>3.0.0</t>
        </is>
      </c>
      <c r="Q34" t="inlineStr">
        <is>
          <t>1.8</t>
        </is>
      </c>
    </row>
    <row r="35">
      <c r="A35" t="inlineStr">
        <is>
          <t>Grizzly XL YO</t>
        </is>
      </c>
      <c r="B35" t="inlineStr">
        <is>
          <t>Master Model G10 Grizzly XL_TwoAge_5a_6a_14b_15a_B09</t>
        </is>
      </c>
      <c r="C35" t="inlineStr">
        <is>
          <t>JAGS_Male_2000</t>
        </is>
      </c>
      <c r="D35" t="n">
        <v>0.05</v>
      </c>
      <c r="E35" t="inlineStr">
        <is>
          <t>Variable</t>
        </is>
      </c>
      <c r="F35" t="inlineStr">
        <is>
          <t>Smoking initiation and cessation variable</t>
        </is>
      </c>
      <c r="G35" t="inlineStr">
        <is>
          <t>68 - 72</t>
        </is>
      </c>
      <c r="H35" t="inlineStr">
        <is>
          <t>DIFF_ALL</t>
        </is>
      </c>
      <c r="I35" s="10" t="n">
        <v>22</v>
      </c>
      <c r="J35">
        <f>B35&amp;D35&amp;C35</f>
        <v/>
      </c>
      <c r="K35" s="10" t="n">
        <v>22</v>
      </c>
      <c r="L35" s="10">
        <f>ROUND(IF(ISNUMBER(SEARCH("Relapse",J35)),_xlfn.XLOOKUP(J35,'Pivot and Calcs'!A:A,'Pivot and Calcs'!T:T),I35),0)</f>
        <v/>
      </c>
      <c r="M35" t="n">
        <v>0.01</v>
      </c>
      <c r="N35" t="n">
        <v>0.009999999776482582</v>
      </c>
      <c r="O35" s="43" t="n">
        <v>46254.03570532407</v>
      </c>
      <c r="P35" t="inlineStr">
        <is>
          <t>3.0.0</t>
        </is>
      </c>
      <c r="Q35" t="inlineStr">
        <is>
          <t>1.8</t>
        </is>
      </c>
    </row>
    <row r="36">
      <c r="A36" t="inlineStr">
        <is>
          <t>Grizzly XL YO</t>
        </is>
      </c>
      <c r="B36" t="inlineStr">
        <is>
          <t>Master Model G10 Grizzly XL_TwoAge_5a_6a_14b_15a_B09</t>
        </is>
      </c>
      <c r="C36" t="inlineStr">
        <is>
          <t>JAGS_Male_2000</t>
        </is>
      </c>
      <c r="D36" t="n">
        <v>0.1</v>
      </c>
      <c r="E36" t="inlineStr">
        <is>
          <t>Variable</t>
        </is>
      </c>
      <c r="F36" t="inlineStr">
        <is>
          <t>Smoking initiation and cessation variable</t>
        </is>
      </c>
      <c r="G36" t="inlineStr">
        <is>
          <t>68 - 72</t>
        </is>
      </c>
      <c r="H36" t="inlineStr">
        <is>
          <t>DIFF_ALL</t>
        </is>
      </c>
      <c r="I36" s="10" t="n">
        <v>20</v>
      </c>
      <c r="J36">
        <f>B36&amp;D36&amp;C36</f>
        <v/>
      </c>
      <c r="K36" s="10" t="n">
        <v>20</v>
      </c>
      <c r="L36" s="10">
        <f>ROUND(IF(ISNUMBER(SEARCH("Relapse",J36)),_xlfn.XLOOKUP(J36,'Pivot and Calcs'!A:A,'Pivot and Calcs'!T:T),I36),0)</f>
        <v/>
      </c>
      <c r="M36" t="n">
        <v>0.01</v>
      </c>
      <c r="N36" t="n">
        <v>0.009999999776482582</v>
      </c>
      <c r="O36" s="43" t="n">
        <v>46254.03570532407</v>
      </c>
      <c r="P36" t="inlineStr">
        <is>
          <t>3.0.0</t>
        </is>
      </c>
      <c r="Q36" t="inlineStr">
        <is>
          <t>1.8</t>
        </is>
      </c>
    </row>
    <row r="37">
      <c r="A37" t="inlineStr">
        <is>
          <t>Grizzly XL YO</t>
        </is>
      </c>
      <c r="B37" t="inlineStr">
        <is>
          <t>Master Model G10 Grizzly XL_TwoAge_5a_6a_14b_15a_B09</t>
        </is>
      </c>
      <c r="C37" t="inlineStr">
        <is>
          <t>JAGS_Female_2000</t>
        </is>
      </c>
      <c r="D37" t="n">
        <v>0.05</v>
      </c>
      <c r="E37" t="inlineStr">
        <is>
          <t>Variable</t>
        </is>
      </c>
      <c r="F37" t="inlineStr">
        <is>
          <t>Smoking initiation and cessation variable</t>
        </is>
      </c>
      <c r="G37" t="inlineStr">
        <is>
          <t>68 - 72</t>
        </is>
      </c>
      <c r="H37" t="inlineStr">
        <is>
          <t>DIFF_ALL</t>
        </is>
      </c>
      <c r="I37" s="10" t="n">
        <v>21</v>
      </c>
      <c r="J37">
        <f>B37&amp;D37&amp;C37</f>
        <v/>
      </c>
      <c r="K37" s="10" t="n">
        <v>21</v>
      </c>
      <c r="L37" s="10">
        <f>ROUND(IF(ISNUMBER(SEARCH("Relapse",J37)),_xlfn.XLOOKUP(J37,'Pivot and Calcs'!A:A,'Pivot and Calcs'!T:T),I37),0)</f>
        <v/>
      </c>
      <c r="M37" t="n">
        <v>0.01</v>
      </c>
      <c r="N37" t="n">
        <v>0.009999999776482582</v>
      </c>
      <c r="O37" s="43" t="n">
        <v>46254.03570532407</v>
      </c>
      <c r="P37" t="inlineStr">
        <is>
          <t>3.0.0</t>
        </is>
      </c>
      <c r="Q37" t="inlineStr">
        <is>
          <t>1.8</t>
        </is>
      </c>
    </row>
    <row r="38">
      <c r="A38" t="inlineStr">
        <is>
          <t>Grizzly XL YO</t>
        </is>
      </c>
      <c r="B38" t="inlineStr">
        <is>
          <t>Master Model G10 Grizzly XL_TwoAge_5a_6a_14b_15a_B09</t>
        </is>
      </c>
      <c r="C38" t="inlineStr">
        <is>
          <t>JAGS_Female_2000</t>
        </is>
      </c>
      <c r="D38" t="n">
        <v>0.1</v>
      </c>
      <c r="E38" t="inlineStr">
        <is>
          <t>Variable</t>
        </is>
      </c>
      <c r="F38" t="inlineStr">
        <is>
          <t>Smoking initiation and cessation variable</t>
        </is>
      </c>
      <c r="G38" t="inlineStr">
        <is>
          <t>68 - 72</t>
        </is>
      </c>
      <c r="H38" t="inlineStr">
        <is>
          <t>DIFF_ALL</t>
        </is>
      </c>
      <c r="I38" s="10" t="n">
        <v>19</v>
      </c>
      <c r="J38">
        <f>B38&amp;D38&amp;C38</f>
        <v/>
      </c>
      <c r="K38" s="10" t="n">
        <v>19</v>
      </c>
      <c r="L38" s="10">
        <f>ROUND(IF(ISNUMBER(SEARCH("Relapse",J38)),_xlfn.XLOOKUP(J38,'Pivot and Calcs'!A:A,'Pivot and Calcs'!T:T),I38),0)</f>
        <v/>
      </c>
      <c r="M38" t="n">
        <v>0.01</v>
      </c>
      <c r="N38" t="n">
        <v>0.009999999776482582</v>
      </c>
      <c r="O38" s="43" t="n">
        <v>46254.03570532407</v>
      </c>
      <c r="P38" t="inlineStr">
        <is>
          <t>3.0.0</t>
        </is>
      </c>
      <c r="Q38" t="inlineStr">
        <is>
          <t>1.8</t>
        </is>
      </c>
    </row>
    <row r="39">
      <c r="A39" t="inlineStr">
        <is>
          <t>Grizzly XL YO</t>
        </is>
      </c>
      <c r="B39" t="inlineStr">
        <is>
          <t>Master Model G10 Grizzly XL_TwoAge_5a_6a_14b_15a_B10</t>
        </is>
      </c>
      <c r="C39" t="inlineStr">
        <is>
          <t>JAGS_Male_2000</t>
        </is>
      </c>
      <c r="D39" t="n">
        <v>0.05</v>
      </c>
      <c r="E39" t="inlineStr">
        <is>
          <t>Variable</t>
        </is>
      </c>
      <c r="F39" t="inlineStr">
        <is>
          <t>Smoking initiation and cessation variable</t>
        </is>
      </c>
      <c r="G39" t="inlineStr">
        <is>
          <t>68 - 72</t>
        </is>
      </c>
      <c r="H39" t="inlineStr">
        <is>
          <t>DIFF_ALL</t>
        </is>
      </c>
      <c r="I39" s="10" t="n">
        <v>9</v>
      </c>
      <c r="J39">
        <f>B39&amp;D39&amp;C39</f>
        <v/>
      </c>
      <c r="K39" s="10" t="n">
        <v>9</v>
      </c>
      <c r="L39" s="10">
        <f>ROUND(IF(ISNUMBER(SEARCH("Relapse",J39)),_xlfn.XLOOKUP(J39,'Pivot and Calcs'!A:A,'Pivot and Calcs'!T:T),I39),0)</f>
        <v/>
      </c>
      <c r="M39" t="n">
        <v>0.01</v>
      </c>
      <c r="N39" t="n">
        <v>0.009999999776482582</v>
      </c>
      <c r="O39" s="43" t="n">
        <v>46254.03570532407</v>
      </c>
      <c r="P39" t="inlineStr">
        <is>
          <t>3.0.0</t>
        </is>
      </c>
      <c r="Q39" t="inlineStr">
        <is>
          <t>1.8</t>
        </is>
      </c>
    </row>
    <row r="40">
      <c r="A40" t="inlineStr">
        <is>
          <t>Grizzly XL YO</t>
        </is>
      </c>
      <c r="B40" t="inlineStr">
        <is>
          <t>Master Model G10 Grizzly XL_TwoAge_5a_6a_14b_15a_B10</t>
        </is>
      </c>
      <c r="C40" t="inlineStr">
        <is>
          <t>JAGS_Male_2000</t>
        </is>
      </c>
      <c r="D40" t="n">
        <v>0.1</v>
      </c>
      <c r="E40" t="inlineStr">
        <is>
          <t>Variable</t>
        </is>
      </c>
      <c r="F40" t="inlineStr">
        <is>
          <t>Smoking initiation and cessation variable</t>
        </is>
      </c>
      <c r="G40" t="inlineStr">
        <is>
          <t>68 - 72</t>
        </is>
      </c>
      <c r="H40" t="inlineStr">
        <is>
          <t>DIFF_ALL</t>
        </is>
      </c>
      <c r="I40" s="10" t="n">
        <v>8</v>
      </c>
      <c r="J40">
        <f>B40&amp;D40&amp;C40</f>
        <v/>
      </c>
      <c r="K40" s="10" t="n">
        <v>8</v>
      </c>
      <c r="L40" s="10">
        <f>ROUND(IF(ISNUMBER(SEARCH("Relapse",J40)),_xlfn.XLOOKUP(J40,'Pivot and Calcs'!A:A,'Pivot and Calcs'!T:T),I40),0)</f>
        <v/>
      </c>
      <c r="M40" t="n">
        <v>0.01</v>
      </c>
      <c r="N40" t="n">
        <v>0.009999999776482582</v>
      </c>
      <c r="O40" s="43" t="n">
        <v>46254.03570532407</v>
      </c>
      <c r="P40" t="inlineStr">
        <is>
          <t>3.0.0</t>
        </is>
      </c>
      <c r="Q40" t="inlineStr">
        <is>
          <t>1.8</t>
        </is>
      </c>
    </row>
    <row r="41">
      <c r="A41" t="inlineStr">
        <is>
          <t>Grizzly XL YO</t>
        </is>
      </c>
      <c r="B41" t="inlineStr">
        <is>
          <t>Master Model G10 Grizzly XL_TwoAge_5a_6a_14b_15a_B10</t>
        </is>
      </c>
      <c r="C41" t="inlineStr">
        <is>
          <t>JAGS_Female_2000</t>
        </is>
      </c>
      <c r="D41" t="n">
        <v>0.05</v>
      </c>
      <c r="E41" t="inlineStr">
        <is>
          <t>Variable</t>
        </is>
      </c>
      <c r="F41" t="inlineStr">
        <is>
          <t>Smoking initiation and cessation variable</t>
        </is>
      </c>
      <c r="G41" t="inlineStr">
        <is>
          <t>68 - 72</t>
        </is>
      </c>
      <c r="H41" t="inlineStr">
        <is>
          <t>DIFF_ALL</t>
        </is>
      </c>
      <c r="I41" s="10" t="n">
        <v>8</v>
      </c>
      <c r="J41">
        <f>B41&amp;D41&amp;C41</f>
        <v/>
      </c>
      <c r="K41" s="10" t="n">
        <v>8</v>
      </c>
      <c r="L41" s="10">
        <f>ROUND(IF(ISNUMBER(SEARCH("Relapse",J41)),_xlfn.XLOOKUP(J41,'Pivot and Calcs'!A:A,'Pivot and Calcs'!T:T),I41),0)</f>
        <v/>
      </c>
      <c r="M41" t="n">
        <v>0.01</v>
      </c>
      <c r="N41" t="n">
        <v>0.009999999776482582</v>
      </c>
      <c r="O41" s="43" t="n">
        <v>46254.03570532407</v>
      </c>
      <c r="P41" t="inlineStr">
        <is>
          <t>3.0.0</t>
        </is>
      </c>
      <c r="Q41" t="inlineStr">
        <is>
          <t>1.8</t>
        </is>
      </c>
    </row>
    <row r="42">
      <c r="A42" t="inlineStr">
        <is>
          <t>Grizzly XL YO</t>
        </is>
      </c>
      <c r="B42" t="inlineStr">
        <is>
          <t>Master Model G10 Grizzly XL_TwoAge_5a_6a_14b_15a_B10</t>
        </is>
      </c>
      <c r="C42" t="inlineStr">
        <is>
          <t>JAGS_Female_2000</t>
        </is>
      </c>
      <c r="D42" t="n">
        <v>0.1</v>
      </c>
      <c r="E42" t="inlineStr">
        <is>
          <t>Variable</t>
        </is>
      </c>
      <c r="F42" t="inlineStr">
        <is>
          <t>Smoking initiation and cessation variable</t>
        </is>
      </c>
      <c r="G42" t="inlineStr">
        <is>
          <t>68 - 72</t>
        </is>
      </c>
      <c r="H42" t="inlineStr">
        <is>
          <t>DIFF_ALL</t>
        </is>
      </c>
      <c r="I42" s="10" t="n">
        <v>7</v>
      </c>
      <c r="J42">
        <f>B42&amp;D42&amp;C42</f>
        <v/>
      </c>
      <c r="K42" s="10" t="n">
        <v>7</v>
      </c>
      <c r="L42" s="10">
        <f>ROUND(IF(ISNUMBER(SEARCH("Relapse",J42)),_xlfn.XLOOKUP(J42,'Pivot and Calcs'!A:A,'Pivot and Calcs'!T:T),I42),0)</f>
        <v/>
      </c>
      <c r="M42" t="n">
        <v>0.01</v>
      </c>
      <c r="N42" t="n">
        <v>0.009999999776482582</v>
      </c>
      <c r="O42" s="43" t="n">
        <v>46254.03570532407</v>
      </c>
      <c r="P42" t="inlineStr">
        <is>
          <t>3.0.0</t>
        </is>
      </c>
      <c r="Q42" t="inlineStr">
        <is>
          <t>1.8</t>
        </is>
      </c>
    </row>
    <row r="43">
      <c r="A43" t="inlineStr">
        <is>
          <t>Grizzly XL YO</t>
        </is>
      </c>
      <c r="B43" t="inlineStr">
        <is>
          <t>Master Model G10 Grizzly XL_TwoAge_5a_6a_14b_15a_B11</t>
        </is>
      </c>
      <c r="C43" t="inlineStr">
        <is>
          <t>JAGS_Male_2000</t>
        </is>
      </c>
      <c r="D43" t="n">
        <v>0.05</v>
      </c>
      <c r="E43" t="inlineStr">
        <is>
          <t>Variable</t>
        </is>
      </c>
      <c r="F43" t="inlineStr">
        <is>
          <t>Smoking initiation and cessation variable</t>
        </is>
      </c>
      <c r="G43" t="inlineStr">
        <is>
          <t>68 - 72</t>
        </is>
      </c>
      <c r="H43" t="inlineStr">
        <is>
          <t>DIFF_ALL</t>
        </is>
      </c>
      <c r="I43" s="10" t="n">
        <v>2</v>
      </c>
      <c r="J43">
        <f>B43&amp;D43&amp;C43</f>
        <v/>
      </c>
      <c r="K43" s="10" t="n">
        <v>2</v>
      </c>
      <c r="L43" s="10">
        <f>ROUND(IF(ISNUMBER(SEARCH("Relapse",J43)),_xlfn.XLOOKUP(J43,'Pivot and Calcs'!A:A,'Pivot and Calcs'!T:T),I43),0)</f>
        <v/>
      </c>
      <c r="M43" t="n">
        <v>0.01</v>
      </c>
      <c r="N43" t="n">
        <v>0.009999999776482582</v>
      </c>
      <c r="O43" s="43" t="n">
        <v>46254.03570532407</v>
      </c>
      <c r="P43" t="inlineStr">
        <is>
          <t>3.0.0</t>
        </is>
      </c>
      <c r="Q43" t="inlineStr">
        <is>
          <t>1.8</t>
        </is>
      </c>
    </row>
    <row r="44">
      <c r="A44" t="inlineStr">
        <is>
          <t>Grizzly XL YO</t>
        </is>
      </c>
      <c r="B44" t="inlineStr">
        <is>
          <t>Master Model G10 Grizzly XL_TwoAge_5a_6a_14b_15a_B11</t>
        </is>
      </c>
      <c r="C44" t="inlineStr">
        <is>
          <t>JAGS_Male_2000</t>
        </is>
      </c>
      <c r="D44" t="n">
        <v>0.1</v>
      </c>
      <c r="E44" t="inlineStr">
        <is>
          <t>Variable</t>
        </is>
      </c>
      <c r="F44" t="inlineStr">
        <is>
          <t>Smoking initiation and cessation variable</t>
        </is>
      </c>
      <c r="G44" t="inlineStr">
        <is>
          <t>68 - 72</t>
        </is>
      </c>
      <c r="H44" t="inlineStr">
        <is>
          <t>DIFF_ALL</t>
        </is>
      </c>
      <c r="I44" s="10" t="n">
        <v>2</v>
      </c>
      <c r="J44">
        <f>B44&amp;D44&amp;C44</f>
        <v/>
      </c>
      <c r="K44" s="10" t="n">
        <v>2</v>
      </c>
      <c r="L44" s="10">
        <f>ROUND(IF(ISNUMBER(SEARCH("Relapse",J44)),_xlfn.XLOOKUP(J44,'Pivot and Calcs'!A:A,'Pivot and Calcs'!T:T),I44),0)</f>
        <v/>
      </c>
      <c r="M44" t="n">
        <v>0.01</v>
      </c>
      <c r="N44" t="n">
        <v>0.009999999776482582</v>
      </c>
      <c r="O44" s="43" t="n">
        <v>46254.03570532407</v>
      </c>
      <c r="P44" t="inlineStr">
        <is>
          <t>3.0.0</t>
        </is>
      </c>
      <c r="Q44" t="inlineStr">
        <is>
          <t>1.8</t>
        </is>
      </c>
    </row>
    <row r="45">
      <c r="A45" t="inlineStr">
        <is>
          <t>Grizzly XL YO</t>
        </is>
      </c>
      <c r="B45" t="inlineStr">
        <is>
          <t>Master Model G10 Grizzly XL_TwoAge_5a_6a_14b_15a_B11</t>
        </is>
      </c>
      <c r="C45" t="inlineStr">
        <is>
          <t>JAGS_Female_2000</t>
        </is>
      </c>
      <c r="D45" t="n">
        <v>0.05</v>
      </c>
      <c r="E45" t="inlineStr">
        <is>
          <t>Variable</t>
        </is>
      </c>
      <c r="F45" t="inlineStr">
        <is>
          <t>Smoking initiation and cessation variable</t>
        </is>
      </c>
      <c r="G45" t="inlineStr">
        <is>
          <t>68 - 72</t>
        </is>
      </c>
      <c r="H45" t="inlineStr">
        <is>
          <t>DIFF_ALL</t>
        </is>
      </c>
      <c r="I45" s="10" t="n">
        <v>2</v>
      </c>
      <c r="J45">
        <f>B45&amp;D45&amp;C45</f>
        <v/>
      </c>
      <c r="K45" s="10" t="n">
        <v>2</v>
      </c>
      <c r="L45" s="10">
        <f>ROUND(IF(ISNUMBER(SEARCH("Relapse",J45)),_xlfn.XLOOKUP(J45,'Pivot and Calcs'!A:A,'Pivot and Calcs'!T:T),I45),0)</f>
        <v/>
      </c>
      <c r="M45" t="n">
        <v>0.01</v>
      </c>
      <c r="N45" t="n">
        <v>0.009999999776482582</v>
      </c>
      <c r="O45" s="43" t="n">
        <v>46254.03570532407</v>
      </c>
      <c r="P45" t="inlineStr">
        <is>
          <t>3.0.0</t>
        </is>
      </c>
      <c r="Q45" t="inlineStr">
        <is>
          <t>1.8</t>
        </is>
      </c>
    </row>
    <row r="46">
      <c r="A46" t="inlineStr">
        <is>
          <t>Grizzly XL YO</t>
        </is>
      </c>
      <c r="B46" t="inlineStr">
        <is>
          <t>Master Model G10 Grizzly XL_TwoAge_5a_6a_14b_15a_B11</t>
        </is>
      </c>
      <c r="C46" t="inlineStr">
        <is>
          <t>JAGS_Female_2000</t>
        </is>
      </c>
      <c r="D46" t="n">
        <v>0.1</v>
      </c>
      <c r="E46" t="inlineStr">
        <is>
          <t>Variable</t>
        </is>
      </c>
      <c r="F46" t="inlineStr">
        <is>
          <t>Smoking initiation and cessation variable</t>
        </is>
      </c>
      <c r="G46" t="inlineStr">
        <is>
          <t>68 - 72</t>
        </is>
      </c>
      <c r="H46" t="inlineStr">
        <is>
          <t>DIFF_ALL</t>
        </is>
      </c>
      <c r="I46" s="10" t="n">
        <v>2</v>
      </c>
      <c r="J46">
        <f>B46&amp;D46&amp;C46</f>
        <v/>
      </c>
      <c r="K46" s="10" t="n">
        <v>2</v>
      </c>
      <c r="L46" s="10">
        <f>ROUND(IF(ISNUMBER(SEARCH("Relapse",J46)),_xlfn.XLOOKUP(J46,'Pivot and Calcs'!A:A,'Pivot and Calcs'!T:T),I46),0)</f>
        <v/>
      </c>
      <c r="M46" t="n">
        <v>0.01</v>
      </c>
      <c r="N46" t="n">
        <v>0.009999999776482582</v>
      </c>
      <c r="O46" s="43" t="n">
        <v>46254.03570532407</v>
      </c>
      <c r="P46" t="inlineStr">
        <is>
          <t>3.0.0</t>
        </is>
      </c>
      <c r="Q46" t="inlineStr">
        <is>
          <t>1.8</t>
        </is>
      </c>
    </row>
    <row r="47">
      <c r="A47" t="inlineStr">
        <is>
          <t>Grizzly XL YO</t>
        </is>
      </c>
      <c r="B47" t="inlineStr">
        <is>
          <t>Master Model G25 Grizzly XL_TwoAge_5a_6a_14b_15a_B01</t>
        </is>
      </c>
      <c r="C47" t="inlineStr">
        <is>
          <t>JAGS_Male_2000</t>
        </is>
      </c>
      <c r="D47" t="n">
        <v>0.05</v>
      </c>
      <c r="E47" t="inlineStr">
        <is>
          <t>Variable</t>
        </is>
      </c>
      <c r="F47" t="inlineStr">
        <is>
          <t>Smoking initiation and cessation variable</t>
        </is>
      </c>
      <c r="G47" t="inlineStr">
        <is>
          <t>68 - 72</t>
        </is>
      </c>
      <c r="H47" t="inlineStr">
        <is>
          <t>DIFF_ALL</t>
        </is>
      </c>
      <c r="I47" s="10" t="n">
        <v>2260</v>
      </c>
      <c r="J47">
        <f>B47&amp;D47&amp;C47</f>
        <v/>
      </c>
      <c r="K47" s="10" t="n">
        <v>2260</v>
      </c>
      <c r="L47" s="10">
        <f>ROUND(IF(ISNUMBER(SEARCH("Relapse",J47)),_xlfn.XLOOKUP(J47,'Pivot and Calcs'!A:A,'Pivot and Calcs'!T:T),I47),0)</f>
        <v/>
      </c>
      <c r="M47" t="n">
        <v>0.01</v>
      </c>
      <c r="N47" t="n">
        <v>0.009999999776482582</v>
      </c>
      <c r="O47" s="43" t="n">
        <v>46254.68778043982</v>
      </c>
      <c r="P47" t="inlineStr">
        <is>
          <t>3.0.0</t>
        </is>
      </c>
      <c r="Q47" t="inlineStr">
        <is>
          <t>1.8</t>
        </is>
      </c>
    </row>
    <row r="48">
      <c r="A48" t="inlineStr">
        <is>
          <t>Grizzly XL YO</t>
        </is>
      </c>
      <c r="B48" t="inlineStr">
        <is>
          <t>Master Model G25 Grizzly XL_TwoAge_5a_6a_14b_15a_B01</t>
        </is>
      </c>
      <c r="C48" t="inlineStr">
        <is>
          <t>JAGS_Male_2000</t>
        </is>
      </c>
      <c r="D48" t="n">
        <v>0.1</v>
      </c>
      <c r="E48" t="inlineStr">
        <is>
          <t>Variable</t>
        </is>
      </c>
      <c r="F48" t="inlineStr">
        <is>
          <t>Smoking initiation and cessation variable</t>
        </is>
      </c>
      <c r="G48" t="inlineStr">
        <is>
          <t>68 - 72</t>
        </is>
      </c>
      <c r="H48" t="inlineStr">
        <is>
          <t>DIFF_ALL</t>
        </is>
      </c>
      <c r="I48" s="10" t="n">
        <v>1697</v>
      </c>
      <c r="J48">
        <f>B48&amp;D48&amp;C48</f>
        <v/>
      </c>
      <c r="K48" s="10" t="n">
        <v>1697</v>
      </c>
      <c r="L48" s="10">
        <f>ROUND(IF(ISNUMBER(SEARCH("Relapse",J48)),_xlfn.XLOOKUP(J48,'Pivot and Calcs'!A:A,'Pivot and Calcs'!T:T),I48),0)</f>
        <v/>
      </c>
      <c r="M48" t="n">
        <v>0.01</v>
      </c>
      <c r="N48" t="n">
        <v>0.009999999776482582</v>
      </c>
      <c r="O48" s="43" t="n">
        <v>46254.68778043982</v>
      </c>
      <c r="P48" t="inlineStr">
        <is>
          <t>3.0.0</t>
        </is>
      </c>
      <c r="Q48" t="inlineStr">
        <is>
          <t>1.8</t>
        </is>
      </c>
    </row>
    <row r="49">
      <c r="A49" t="inlineStr">
        <is>
          <t>Grizzly XL YO</t>
        </is>
      </c>
      <c r="B49" t="inlineStr">
        <is>
          <t>Master Model G25 Grizzly XL_TwoAge_5a_6a_14b_15a_B01</t>
        </is>
      </c>
      <c r="C49" t="inlineStr">
        <is>
          <t>JAGS_Female_2000</t>
        </is>
      </c>
      <c r="D49" t="n">
        <v>0.05</v>
      </c>
      <c r="E49" t="inlineStr">
        <is>
          <t>Variable</t>
        </is>
      </c>
      <c r="F49" t="inlineStr">
        <is>
          <t>Smoking initiation and cessation variable</t>
        </is>
      </c>
      <c r="G49" t="inlineStr">
        <is>
          <t>68 - 72</t>
        </is>
      </c>
      <c r="H49" t="inlineStr">
        <is>
          <t>DIFF_ALL</t>
        </is>
      </c>
      <c r="I49" s="10" t="n">
        <v>1916</v>
      </c>
      <c r="J49">
        <f>B49&amp;D49&amp;C49</f>
        <v/>
      </c>
      <c r="K49" s="10" t="n">
        <v>1916</v>
      </c>
      <c r="L49" s="10">
        <f>ROUND(IF(ISNUMBER(SEARCH("Relapse",J49)),_xlfn.XLOOKUP(J49,'Pivot and Calcs'!A:A,'Pivot and Calcs'!T:T),I49),0)</f>
        <v/>
      </c>
      <c r="M49" t="n">
        <v>0.01</v>
      </c>
      <c r="N49" t="n">
        <v>0.009999999776482582</v>
      </c>
      <c r="O49" s="43" t="n">
        <v>46254.68778043982</v>
      </c>
      <c r="P49" t="inlineStr">
        <is>
          <t>3.0.0</t>
        </is>
      </c>
      <c r="Q49" t="inlineStr">
        <is>
          <t>1.8</t>
        </is>
      </c>
    </row>
    <row r="50">
      <c r="A50" t="inlineStr">
        <is>
          <t>Grizzly XL YO</t>
        </is>
      </c>
      <c r="B50" t="inlineStr">
        <is>
          <t>Master Model G25 Grizzly XL_TwoAge_5a_6a_14b_15a_B01</t>
        </is>
      </c>
      <c r="C50" t="inlineStr">
        <is>
          <t>JAGS_Female_2000</t>
        </is>
      </c>
      <c r="D50" t="n">
        <v>0.1</v>
      </c>
      <c r="E50" t="inlineStr">
        <is>
          <t>Variable</t>
        </is>
      </c>
      <c r="F50" t="inlineStr">
        <is>
          <t>Smoking initiation and cessation variable</t>
        </is>
      </c>
      <c r="G50" t="inlineStr">
        <is>
          <t>68 - 72</t>
        </is>
      </c>
      <c r="H50" t="inlineStr">
        <is>
          <t>DIFF_ALL</t>
        </is>
      </c>
      <c r="I50" s="10" t="n">
        <v>1462</v>
      </c>
      <c r="J50">
        <f>B50&amp;D50&amp;C50</f>
        <v/>
      </c>
      <c r="K50" s="10" t="n">
        <v>1462</v>
      </c>
      <c r="L50" s="10">
        <f>ROUND(IF(ISNUMBER(SEARCH("Relapse",J50)),_xlfn.XLOOKUP(J50,'Pivot and Calcs'!A:A,'Pivot and Calcs'!T:T),I50),0)</f>
        <v/>
      </c>
      <c r="M50" t="n">
        <v>0.01</v>
      </c>
      <c r="N50" t="n">
        <v>0.009999999776482582</v>
      </c>
      <c r="O50" s="43" t="n">
        <v>46254.68778043982</v>
      </c>
      <c r="P50" t="inlineStr">
        <is>
          <t>3.0.0</t>
        </is>
      </c>
      <c r="Q50" t="inlineStr">
        <is>
          <t>1.8</t>
        </is>
      </c>
    </row>
    <row r="51">
      <c r="A51" t="inlineStr">
        <is>
          <t>Grizzly XL YO</t>
        </is>
      </c>
      <c r="B51" t="inlineStr">
        <is>
          <t>Master Model G25 Grizzly XL_TwoAge_5a_6a_14b_15a_B02</t>
        </is>
      </c>
      <c r="C51" t="inlineStr">
        <is>
          <t>JAGS_Male_2000</t>
        </is>
      </c>
      <c r="D51" t="n">
        <v>0.05</v>
      </c>
      <c r="E51" t="inlineStr">
        <is>
          <t>Variable</t>
        </is>
      </c>
      <c r="F51" t="inlineStr">
        <is>
          <t>Smoking initiation and cessation variable</t>
        </is>
      </c>
      <c r="G51" t="inlineStr">
        <is>
          <t>68 - 72</t>
        </is>
      </c>
      <c r="H51" t="inlineStr">
        <is>
          <t>DIFF_ALL</t>
        </is>
      </c>
      <c r="I51" s="10" t="n">
        <v>2085</v>
      </c>
      <c r="J51">
        <f>B51&amp;D51&amp;C51</f>
        <v/>
      </c>
      <c r="K51" s="10" t="n">
        <v>2085</v>
      </c>
      <c r="L51" s="10">
        <f>ROUND(IF(ISNUMBER(SEARCH("Relapse",J51)),_xlfn.XLOOKUP(J51,'Pivot and Calcs'!A:A,'Pivot and Calcs'!T:T),I51),0)</f>
        <v/>
      </c>
      <c r="M51" t="n">
        <v>0.01</v>
      </c>
      <c r="N51" t="n">
        <v>0.009999999776482582</v>
      </c>
      <c r="O51" s="43" t="n">
        <v>46254.68778045139</v>
      </c>
      <c r="P51" t="inlineStr">
        <is>
          <t>3.0.0</t>
        </is>
      </c>
      <c r="Q51" t="inlineStr">
        <is>
          <t>1.8</t>
        </is>
      </c>
    </row>
    <row r="52">
      <c r="A52" t="inlineStr">
        <is>
          <t>Grizzly XL YO</t>
        </is>
      </c>
      <c r="B52" t="inlineStr">
        <is>
          <t>Master Model G25 Grizzly XL_TwoAge_5a_6a_14b_15a_B02</t>
        </is>
      </c>
      <c r="C52" t="inlineStr">
        <is>
          <t>JAGS_Male_2000</t>
        </is>
      </c>
      <c r="D52" t="n">
        <v>0.1</v>
      </c>
      <c r="E52" t="inlineStr">
        <is>
          <t>Variable</t>
        </is>
      </c>
      <c r="F52" t="inlineStr">
        <is>
          <t>Smoking initiation and cessation variable</t>
        </is>
      </c>
      <c r="G52" t="inlineStr">
        <is>
          <t>68 - 72</t>
        </is>
      </c>
      <c r="H52" t="inlineStr">
        <is>
          <t>DIFF_ALL</t>
        </is>
      </c>
      <c r="I52" s="10" t="n">
        <v>1647</v>
      </c>
      <c r="J52">
        <f>B52&amp;D52&amp;C52</f>
        <v/>
      </c>
      <c r="K52" s="10" t="n">
        <v>1647</v>
      </c>
      <c r="L52" s="10">
        <f>ROUND(IF(ISNUMBER(SEARCH("Relapse",J52)),_xlfn.XLOOKUP(J52,'Pivot and Calcs'!A:A,'Pivot and Calcs'!T:T),I52),0)</f>
        <v/>
      </c>
      <c r="M52" t="n">
        <v>0.01</v>
      </c>
      <c r="N52" t="n">
        <v>0.009999999776482582</v>
      </c>
      <c r="O52" s="43" t="n">
        <v>46254.68778045139</v>
      </c>
      <c r="P52" t="inlineStr">
        <is>
          <t>3.0.0</t>
        </is>
      </c>
      <c r="Q52" t="inlineStr">
        <is>
          <t>1.8</t>
        </is>
      </c>
    </row>
    <row r="53">
      <c r="A53" t="inlineStr">
        <is>
          <t>Grizzly XL YO</t>
        </is>
      </c>
      <c r="B53" t="inlineStr">
        <is>
          <t>Master Model G25 Grizzly XL_TwoAge_5a_6a_14b_15a_B02</t>
        </is>
      </c>
      <c r="C53" t="inlineStr">
        <is>
          <t>JAGS_Female_2000</t>
        </is>
      </c>
      <c r="D53" t="n">
        <v>0.05</v>
      </c>
      <c r="E53" t="inlineStr">
        <is>
          <t>Variable</t>
        </is>
      </c>
      <c r="F53" t="inlineStr">
        <is>
          <t>Smoking initiation and cessation variable</t>
        </is>
      </c>
      <c r="G53" t="inlineStr">
        <is>
          <t>68 - 72</t>
        </is>
      </c>
      <c r="H53" t="inlineStr">
        <is>
          <t>DIFF_ALL</t>
        </is>
      </c>
      <c r="I53" s="10" t="n">
        <v>1737</v>
      </c>
      <c r="J53">
        <f>B53&amp;D53&amp;C53</f>
        <v/>
      </c>
      <c r="K53" s="10" t="n">
        <v>1737</v>
      </c>
      <c r="L53" s="10">
        <f>ROUND(IF(ISNUMBER(SEARCH("Relapse",J53)),_xlfn.XLOOKUP(J53,'Pivot and Calcs'!A:A,'Pivot and Calcs'!T:T),I53),0)</f>
        <v/>
      </c>
      <c r="M53" t="n">
        <v>0.01</v>
      </c>
      <c r="N53" t="n">
        <v>0.009999999776482582</v>
      </c>
      <c r="O53" s="43" t="n">
        <v>46254.68778045139</v>
      </c>
      <c r="P53" t="inlineStr">
        <is>
          <t>3.0.0</t>
        </is>
      </c>
      <c r="Q53" t="inlineStr">
        <is>
          <t>1.8</t>
        </is>
      </c>
    </row>
    <row r="54">
      <c r="A54" t="inlineStr">
        <is>
          <t>Grizzly XL YO</t>
        </is>
      </c>
      <c r="B54" t="inlineStr">
        <is>
          <t>Master Model G25 Grizzly XL_TwoAge_5a_6a_14b_15a_B02</t>
        </is>
      </c>
      <c r="C54" t="inlineStr">
        <is>
          <t>JAGS_Female_2000</t>
        </is>
      </c>
      <c r="D54" t="n">
        <v>0.1</v>
      </c>
      <c r="E54" t="inlineStr">
        <is>
          <t>Variable</t>
        </is>
      </c>
      <c r="F54" t="inlineStr">
        <is>
          <t>Smoking initiation and cessation variable</t>
        </is>
      </c>
      <c r="G54" t="inlineStr">
        <is>
          <t>68 - 72</t>
        </is>
      </c>
      <c r="H54" t="inlineStr">
        <is>
          <t>DIFF_ALL</t>
        </is>
      </c>
      <c r="I54" s="10" t="n">
        <v>1386</v>
      </c>
      <c r="J54">
        <f>B54&amp;D54&amp;C54</f>
        <v/>
      </c>
      <c r="K54" s="10" t="n">
        <v>1386</v>
      </c>
      <c r="L54" s="10">
        <f>ROUND(IF(ISNUMBER(SEARCH("Relapse",J54)),_xlfn.XLOOKUP(J54,'Pivot and Calcs'!A:A,'Pivot and Calcs'!T:T),I54),0)</f>
        <v/>
      </c>
      <c r="M54" t="n">
        <v>0.01</v>
      </c>
      <c r="N54" t="n">
        <v>0.009999999776482582</v>
      </c>
      <c r="O54" s="43" t="n">
        <v>46254.68778045139</v>
      </c>
      <c r="P54" t="inlineStr">
        <is>
          <t>3.0.0</t>
        </is>
      </c>
      <c r="Q54" t="inlineStr">
        <is>
          <t>1.8</t>
        </is>
      </c>
    </row>
    <row r="55">
      <c r="A55" t="inlineStr">
        <is>
          <t>Grizzly XL YO</t>
        </is>
      </c>
      <c r="B55" t="inlineStr">
        <is>
          <t>Master Model G25 Grizzly XL_TwoAge_5a_6a_14b_15a_B03</t>
        </is>
      </c>
      <c r="C55" t="inlineStr">
        <is>
          <t>JAGS_Male_2000</t>
        </is>
      </c>
      <c r="D55" t="n">
        <v>0.05</v>
      </c>
      <c r="E55" t="inlineStr">
        <is>
          <t>Variable</t>
        </is>
      </c>
      <c r="F55" t="inlineStr">
        <is>
          <t>Smoking initiation and cessation variable</t>
        </is>
      </c>
      <c r="G55" t="inlineStr">
        <is>
          <t>68 - 72</t>
        </is>
      </c>
      <c r="H55" t="inlineStr">
        <is>
          <t>DIFF_ALL</t>
        </is>
      </c>
      <c r="I55" s="10" t="n">
        <v>1478</v>
      </c>
      <c r="J55">
        <f>B55&amp;D55&amp;C55</f>
        <v/>
      </c>
      <c r="K55" s="10" t="n">
        <v>1478</v>
      </c>
      <c r="L55" s="10">
        <f>ROUND(IF(ISNUMBER(SEARCH("Relapse",J55)),_xlfn.XLOOKUP(J55,'Pivot and Calcs'!A:A,'Pivot and Calcs'!T:T),I55),0)</f>
        <v/>
      </c>
      <c r="M55" t="n">
        <v>0.01</v>
      </c>
      <c r="N55" t="n">
        <v>0.009999999776482582</v>
      </c>
      <c r="O55" s="43" t="n">
        <v>46254.68778045139</v>
      </c>
      <c r="P55" t="inlineStr">
        <is>
          <t>3.0.0</t>
        </is>
      </c>
      <c r="Q55" t="inlineStr">
        <is>
          <t>1.8</t>
        </is>
      </c>
    </row>
    <row r="56">
      <c r="A56" t="inlineStr">
        <is>
          <t>Grizzly XL YO</t>
        </is>
      </c>
      <c r="B56" t="inlineStr">
        <is>
          <t>Master Model G25 Grizzly XL_TwoAge_5a_6a_14b_15a_B03</t>
        </is>
      </c>
      <c r="C56" t="inlineStr">
        <is>
          <t>JAGS_Male_2000</t>
        </is>
      </c>
      <c r="D56" t="n">
        <v>0.1</v>
      </c>
      <c r="E56" t="inlineStr">
        <is>
          <t>Variable</t>
        </is>
      </c>
      <c r="F56" t="inlineStr">
        <is>
          <t>Smoking initiation and cessation variable</t>
        </is>
      </c>
      <c r="G56" t="inlineStr">
        <is>
          <t>68 - 72</t>
        </is>
      </c>
      <c r="H56" t="inlineStr">
        <is>
          <t>DIFF_ALL</t>
        </is>
      </c>
      <c r="I56" s="10" t="n">
        <v>1240</v>
      </c>
      <c r="J56">
        <f>B56&amp;D56&amp;C56</f>
        <v/>
      </c>
      <c r="K56" s="10" t="n">
        <v>1240</v>
      </c>
      <c r="L56" s="10">
        <f>ROUND(IF(ISNUMBER(SEARCH("Relapse",J56)),_xlfn.XLOOKUP(J56,'Pivot and Calcs'!A:A,'Pivot and Calcs'!T:T),I56),0)</f>
        <v/>
      </c>
      <c r="M56" t="n">
        <v>0.01</v>
      </c>
      <c r="N56" t="n">
        <v>0.009999999776482582</v>
      </c>
      <c r="O56" s="43" t="n">
        <v>46254.68778045139</v>
      </c>
      <c r="P56" t="inlineStr">
        <is>
          <t>3.0.0</t>
        </is>
      </c>
      <c r="Q56" t="inlineStr">
        <is>
          <t>1.8</t>
        </is>
      </c>
    </row>
    <row r="57">
      <c r="A57" t="inlineStr">
        <is>
          <t>Grizzly XL YO</t>
        </is>
      </c>
      <c r="B57" t="inlineStr">
        <is>
          <t>Master Model G25 Grizzly XL_TwoAge_5a_6a_14b_15a_B03</t>
        </is>
      </c>
      <c r="C57" t="inlineStr">
        <is>
          <t>JAGS_Female_2000</t>
        </is>
      </c>
      <c r="D57" t="n">
        <v>0.05</v>
      </c>
      <c r="E57" t="inlineStr">
        <is>
          <t>Variable</t>
        </is>
      </c>
      <c r="F57" t="inlineStr">
        <is>
          <t>Smoking initiation and cessation variable</t>
        </is>
      </c>
      <c r="G57" t="inlineStr">
        <is>
          <t>68 - 72</t>
        </is>
      </c>
      <c r="H57" t="inlineStr">
        <is>
          <t>DIFF_ALL</t>
        </is>
      </c>
      <c r="I57" s="10" t="n">
        <v>1181</v>
      </c>
      <c r="J57">
        <f>B57&amp;D57&amp;C57</f>
        <v/>
      </c>
      <c r="K57" s="10" t="n">
        <v>1181</v>
      </c>
      <c r="L57" s="10">
        <f>ROUND(IF(ISNUMBER(SEARCH("Relapse",J57)),_xlfn.XLOOKUP(J57,'Pivot and Calcs'!A:A,'Pivot and Calcs'!T:T),I57),0)</f>
        <v/>
      </c>
      <c r="M57" t="n">
        <v>0.01</v>
      </c>
      <c r="N57" t="n">
        <v>0.009999999776482582</v>
      </c>
      <c r="O57" s="43" t="n">
        <v>46254.68778045139</v>
      </c>
      <c r="P57" t="inlineStr">
        <is>
          <t>3.0.0</t>
        </is>
      </c>
      <c r="Q57" t="inlineStr">
        <is>
          <t>1.8</t>
        </is>
      </c>
    </row>
    <row r="58">
      <c r="A58" t="inlineStr">
        <is>
          <t>Grizzly XL YO</t>
        </is>
      </c>
      <c r="B58" t="inlineStr">
        <is>
          <t>Master Model G25 Grizzly XL_TwoAge_5a_6a_14b_15a_B03</t>
        </is>
      </c>
      <c r="C58" t="inlineStr">
        <is>
          <t>JAGS_Female_2000</t>
        </is>
      </c>
      <c r="D58" t="n">
        <v>0.1</v>
      </c>
      <c r="E58" t="inlineStr">
        <is>
          <t>Variable</t>
        </is>
      </c>
      <c r="F58" t="inlineStr">
        <is>
          <t>Smoking initiation and cessation variable</t>
        </is>
      </c>
      <c r="G58" t="inlineStr">
        <is>
          <t>68 - 72</t>
        </is>
      </c>
      <c r="H58" t="inlineStr">
        <is>
          <t>DIFF_ALL</t>
        </is>
      </c>
      <c r="I58" s="10" t="n">
        <v>994</v>
      </c>
      <c r="J58">
        <f>B58&amp;D58&amp;C58</f>
        <v/>
      </c>
      <c r="K58" s="10" t="n">
        <v>994</v>
      </c>
      <c r="L58" s="10">
        <f>ROUND(IF(ISNUMBER(SEARCH("Relapse",J58)),_xlfn.XLOOKUP(J58,'Pivot and Calcs'!A:A,'Pivot and Calcs'!T:T),I58),0)</f>
        <v/>
      </c>
      <c r="M58" t="n">
        <v>0.01</v>
      </c>
      <c r="N58" t="n">
        <v>0.009999999776482582</v>
      </c>
      <c r="O58" s="43" t="n">
        <v>46254.68778045139</v>
      </c>
      <c r="P58" t="inlineStr">
        <is>
          <t>3.0.0</t>
        </is>
      </c>
      <c r="Q58" t="inlineStr">
        <is>
          <t>1.8</t>
        </is>
      </c>
    </row>
    <row r="59">
      <c r="A59" t="inlineStr">
        <is>
          <t>Grizzly XL YO</t>
        </is>
      </c>
      <c r="B59" t="inlineStr">
        <is>
          <t>Master Model G25 Grizzly XL_TwoAge_5a_6a_14b_15a_B04</t>
        </is>
      </c>
      <c r="C59" t="inlineStr">
        <is>
          <t>JAGS_Male_2000</t>
        </is>
      </c>
      <c r="D59" t="n">
        <v>0.05</v>
      </c>
      <c r="E59" t="inlineStr">
        <is>
          <t>Variable</t>
        </is>
      </c>
      <c r="F59" t="inlineStr">
        <is>
          <t>Smoking initiation and cessation variable</t>
        </is>
      </c>
      <c r="G59" t="inlineStr">
        <is>
          <t>68 - 72</t>
        </is>
      </c>
      <c r="H59" t="inlineStr">
        <is>
          <t>DIFF_ALL</t>
        </is>
      </c>
      <c r="I59" s="10" t="n">
        <v>1052</v>
      </c>
      <c r="J59">
        <f>B59&amp;D59&amp;C59</f>
        <v/>
      </c>
      <c r="K59" s="10" t="n">
        <v>1052</v>
      </c>
      <c r="L59" s="10">
        <f>ROUND(IF(ISNUMBER(SEARCH("Relapse",J59)),_xlfn.XLOOKUP(J59,'Pivot and Calcs'!A:A,'Pivot and Calcs'!T:T),I59),0)</f>
        <v/>
      </c>
      <c r="M59" t="n">
        <v>0.01</v>
      </c>
      <c r="N59" t="n">
        <v>0.009999999776482582</v>
      </c>
      <c r="O59" s="43" t="n">
        <v>46254.68778045139</v>
      </c>
      <c r="P59" t="inlineStr">
        <is>
          <t>3.0.0</t>
        </is>
      </c>
      <c r="Q59" t="inlineStr">
        <is>
          <t>1.8</t>
        </is>
      </c>
    </row>
    <row r="60">
      <c r="A60" t="inlineStr">
        <is>
          <t>Grizzly XL YO</t>
        </is>
      </c>
      <c r="B60" t="inlineStr">
        <is>
          <t>Master Model G25 Grizzly XL_TwoAge_5a_6a_14b_15a_B04</t>
        </is>
      </c>
      <c r="C60" t="inlineStr">
        <is>
          <t>JAGS_Male_2000</t>
        </is>
      </c>
      <c r="D60" t="n">
        <v>0.1</v>
      </c>
      <c r="E60" t="inlineStr">
        <is>
          <t>Variable</t>
        </is>
      </c>
      <c r="F60" t="inlineStr">
        <is>
          <t>Smoking initiation and cessation variable</t>
        </is>
      </c>
      <c r="G60" t="inlineStr">
        <is>
          <t>68 - 72</t>
        </is>
      </c>
      <c r="H60" t="inlineStr">
        <is>
          <t>DIFF_ALL</t>
        </is>
      </c>
      <c r="I60" s="10" t="n">
        <v>948</v>
      </c>
      <c r="J60">
        <f>B60&amp;D60&amp;C60</f>
        <v/>
      </c>
      <c r="K60" s="10" t="n">
        <v>948</v>
      </c>
      <c r="L60" s="10">
        <f>ROUND(IF(ISNUMBER(SEARCH("Relapse",J60)),_xlfn.XLOOKUP(J60,'Pivot and Calcs'!A:A,'Pivot and Calcs'!T:T),I60),0)</f>
        <v/>
      </c>
      <c r="M60" t="n">
        <v>0.01</v>
      </c>
      <c r="N60" t="n">
        <v>0.009999999776482582</v>
      </c>
      <c r="O60" s="43" t="n">
        <v>46254.68778045139</v>
      </c>
      <c r="P60" t="inlineStr">
        <is>
          <t>3.0.0</t>
        </is>
      </c>
      <c r="Q60" t="inlineStr">
        <is>
          <t>1.8</t>
        </is>
      </c>
    </row>
    <row r="61">
      <c r="A61" t="inlineStr">
        <is>
          <t>Grizzly XL YO</t>
        </is>
      </c>
      <c r="B61" t="inlineStr">
        <is>
          <t>Master Model G25 Grizzly XL_TwoAge_5a_6a_14b_15a_B04</t>
        </is>
      </c>
      <c r="C61" t="inlineStr">
        <is>
          <t>JAGS_Female_2000</t>
        </is>
      </c>
      <c r="D61" t="n">
        <v>0.05</v>
      </c>
      <c r="E61" t="inlineStr">
        <is>
          <t>Variable</t>
        </is>
      </c>
      <c r="F61" t="inlineStr">
        <is>
          <t>Smoking initiation and cessation variable</t>
        </is>
      </c>
      <c r="G61" t="inlineStr">
        <is>
          <t>68 - 72</t>
        </is>
      </c>
      <c r="H61" t="inlineStr">
        <is>
          <t>DIFF_ALL</t>
        </is>
      </c>
      <c r="I61" s="10" t="n">
        <v>853</v>
      </c>
      <c r="J61">
        <f>B61&amp;D61&amp;C61</f>
        <v/>
      </c>
      <c r="K61" s="10" t="n">
        <v>853</v>
      </c>
      <c r="L61" s="10">
        <f>ROUND(IF(ISNUMBER(SEARCH("Relapse",J61)),_xlfn.XLOOKUP(J61,'Pivot and Calcs'!A:A,'Pivot and Calcs'!T:T),I61),0)</f>
        <v/>
      </c>
      <c r="M61" t="n">
        <v>0.01</v>
      </c>
      <c r="N61" t="n">
        <v>0.009999999776482582</v>
      </c>
      <c r="O61" s="43" t="n">
        <v>46254.68778045139</v>
      </c>
      <c r="P61" t="inlineStr">
        <is>
          <t>3.0.0</t>
        </is>
      </c>
      <c r="Q61" t="inlineStr">
        <is>
          <t>1.8</t>
        </is>
      </c>
    </row>
    <row r="62">
      <c r="A62" t="inlineStr">
        <is>
          <t>Grizzly XL YO</t>
        </is>
      </c>
      <c r="B62" t="inlineStr">
        <is>
          <t>Master Model G25 Grizzly XL_TwoAge_5a_6a_14b_15a_B04</t>
        </is>
      </c>
      <c r="C62" t="inlineStr">
        <is>
          <t>JAGS_Female_2000</t>
        </is>
      </c>
      <c r="D62" t="n">
        <v>0.1</v>
      </c>
      <c r="E62" t="inlineStr">
        <is>
          <t>Variable</t>
        </is>
      </c>
      <c r="F62" t="inlineStr">
        <is>
          <t>Smoking initiation and cessation variable</t>
        </is>
      </c>
      <c r="G62" t="inlineStr">
        <is>
          <t>68 - 72</t>
        </is>
      </c>
      <c r="H62" t="inlineStr">
        <is>
          <t>DIFF_ALL</t>
        </is>
      </c>
      <c r="I62" s="10" t="n">
        <v>772</v>
      </c>
      <c r="J62">
        <f>B62&amp;D62&amp;C62</f>
        <v/>
      </c>
      <c r="K62" s="10" t="n">
        <v>772</v>
      </c>
      <c r="L62" s="10">
        <f>ROUND(IF(ISNUMBER(SEARCH("Relapse",J62)),_xlfn.XLOOKUP(J62,'Pivot and Calcs'!A:A,'Pivot and Calcs'!T:T),I62),0)</f>
        <v/>
      </c>
      <c r="M62" t="n">
        <v>0.01</v>
      </c>
      <c r="N62" t="n">
        <v>0.009999999776482582</v>
      </c>
      <c r="O62" s="43" t="n">
        <v>46254.68778045139</v>
      </c>
      <c r="P62" t="inlineStr">
        <is>
          <t>3.0.0</t>
        </is>
      </c>
      <c r="Q62" t="inlineStr">
        <is>
          <t>1.8</t>
        </is>
      </c>
    </row>
    <row r="63">
      <c r="A63" t="inlineStr">
        <is>
          <t>Grizzly XL YO</t>
        </is>
      </c>
      <c r="B63" t="inlineStr">
        <is>
          <t>Master Model G25 Grizzly XL_TwoAge_5a_6a_14b_15a_B05</t>
        </is>
      </c>
      <c r="C63" t="inlineStr">
        <is>
          <t>JAGS_Male_2000</t>
        </is>
      </c>
      <c r="D63" t="n">
        <v>0.05</v>
      </c>
      <c r="E63" t="inlineStr">
        <is>
          <t>Variable</t>
        </is>
      </c>
      <c r="F63" t="inlineStr">
        <is>
          <t>Smoking initiation and cessation variable</t>
        </is>
      </c>
      <c r="G63" t="inlineStr">
        <is>
          <t>68 - 72</t>
        </is>
      </c>
      <c r="H63" t="inlineStr">
        <is>
          <t>DIFF_ALL</t>
        </is>
      </c>
      <c r="I63" s="10" t="n">
        <v>716</v>
      </c>
      <c r="J63">
        <f>B63&amp;D63&amp;C63</f>
        <v/>
      </c>
      <c r="K63" s="10" t="n">
        <v>716</v>
      </c>
      <c r="L63" s="10">
        <f>ROUND(IF(ISNUMBER(SEARCH("Relapse",J63)),_xlfn.XLOOKUP(J63,'Pivot and Calcs'!A:A,'Pivot and Calcs'!T:T),I63),0)</f>
        <v/>
      </c>
      <c r="M63" t="n">
        <v>0.01</v>
      </c>
      <c r="N63" t="n">
        <v>0.009999999776482582</v>
      </c>
      <c r="O63" s="43" t="n">
        <v>46254.68778045139</v>
      </c>
      <c r="P63" t="inlineStr">
        <is>
          <t>3.0.0</t>
        </is>
      </c>
      <c r="Q63" t="inlineStr">
        <is>
          <t>1.8</t>
        </is>
      </c>
    </row>
    <row r="64">
      <c r="A64" t="inlineStr">
        <is>
          <t>Grizzly XL YO</t>
        </is>
      </c>
      <c r="B64" t="inlineStr">
        <is>
          <t>Master Model G25 Grizzly XL_TwoAge_5a_6a_14b_15a_B05</t>
        </is>
      </c>
      <c r="C64" t="inlineStr">
        <is>
          <t>JAGS_Male_2000</t>
        </is>
      </c>
      <c r="D64" t="n">
        <v>0.1</v>
      </c>
      <c r="E64" t="inlineStr">
        <is>
          <t>Variable</t>
        </is>
      </c>
      <c r="F64" t="inlineStr">
        <is>
          <t>Smoking initiation and cessation variable</t>
        </is>
      </c>
      <c r="G64" t="inlineStr">
        <is>
          <t>68 - 72</t>
        </is>
      </c>
      <c r="H64" t="inlineStr">
        <is>
          <t>DIFF_ALL</t>
        </is>
      </c>
      <c r="I64" s="10" t="n">
        <v>650</v>
      </c>
      <c r="J64">
        <f>B64&amp;D64&amp;C64</f>
        <v/>
      </c>
      <c r="K64" s="10" t="n">
        <v>650</v>
      </c>
      <c r="L64" s="10">
        <f>ROUND(IF(ISNUMBER(SEARCH("Relapse",J64)),_xlfn.XLOOKUP(J64,'Pivot and Calcs'!A:A,'Pivot and Calcs'!T:T),I64),0)</f>
        <v/>
      </c>
      <c r="M64" t="n">
        <v>0.01</v>
      </c>
      <c r="N64" t="n">
        <v>0.009999999776482582</v>
      </c>
      <c r="O64" s="43" t="n">
        <v>46254.68778045139</v>
      </c>
      <c r="P64" t="inlineStr">
        <is>
          <t>3.0.0</t>
        </is>
      </c>
      <c r="Q64" t="inlineStr">
        <is>
          <t>1.8</t>
        </is>
      </c>
    </row>
    <row r="65">
      <c r="A65" t="inlineStr">
        <is>
          <t>Grizzly XL YO</t>
        </is>
      </c>
      <c r="B65" t="inlineStr">
        <is>
          <t>Master Model G25 Grizzly XL_TwoAge_5a_6a_14b_15a_B05</t>
        </is>
      </c>
      <c r="C65" t="inlineStr">
        <is>
          <t>JAGS_Female_2000</t>
        </is>
      </c>
      <c r="D65" t="n">
        <v>0.05</v>
      </c>
      <c r="E65" t="inlineStr">
        <is>
          <t>Variable</t>
        </is>
      </c>
      <c r="F65" t="inlineStr">
        <is>
          <t>Smoking initiation and cessation variable</t>
        </is>
      </c>
      <c r="G65" t="inlineStr">
        <is>
          <t>68 - 72</t>
        </is>
      </c>
      <c r="H65" t="inlineStr">
        <is>
          <t>DIFF_ALL</t>
        </is>
      </c>
      <c r="I65" s="10" t="n">
        <v>596</v>
      </c>
      <c r="J65">
        <f>B65&amp;D65&amp;C65</f>
        <v/>
      </c>
      <c r="K65" s="10" t="n">
        <v>596</v>
      </c>
      <c r="L65" s="10">
        <f>ROUND(IF(ISNUMBER(SEARCH("Relapse",J65)),_xlfn.XLOOKUP(J65,'Pivot and Calcs'!A:A,'Pivot and Calcs'!T:T),I65),0)</f>
        <v/>
      </c>
      <c r="M65" t="n">
        <v>0.01</v>
      </c>
      <c r="N65" t="n">
        <v>0.009999999776482582</v>
      </c>
      <c r="O65" s="43" t="n">
        <v>46254.68778045139</v>
      </c>
      <c r="P65" t="inlineStr">
        <is>
          <t>3.0.0</t>
        </is>
      </c>
      <c r="Q65" t="inlineStr">
        <is>
          <t>1.8</t>
        </is>
      </c>
    </row>
    <row r="66">
      <c r="A66" t="inlineStr">
        <is>
          <t>Grizzly XL YO</t>
        </is>
      </c>
      <c r="B66" t="inlineStr">
        <is>
          <t>Master Model G25 Grizzly XL_TwoAge_5a_6a_14b_15a_B05</t>
        </is>
      </c>
      <c r="C66" t="inlineStr">
        <is>
          <t>JAGS_Female_2000</t>
        </is>
      </c>
      <c r="D66" t="n">
        <v>0.1</v>
      </c>
      <c r="E66" t="inlineStr">
        <is>
          <t>Variable</t>
        </is>
      </c>
      <c r="F66" t="inlineStr">
        <is>
          <t>Smoking initiation and cessation variable</t>
        </is>
      </c>
      <c r="G66" t="inlineStr">
        <is>
          <t>68 - 72</t>
        </is>
      </c>
      <c r="H66" t="inlineStr">
        <is>
          <t>DIFF_ALL</t>
        </is>
      </c>
      <c r="I66" s="10" t="n">
        <v>542</v>
      </c>
      <c r="J66">
        <f>B66&amp;D66&amp;C66</f>
        <v/>
      </c>
      <c r="K66" s="10" t="n">
        <v>542</v>
      </c>
      <c r="L66" s="10">
        <f>ROUND(IF(ISNUMBER(SEARCH("Relapse",J66)),_xlfn.XLOOKUP(J66,'Pivot and Calcs'!A:A,'Pivot and Calcs'!T:T),I66),0)</f>
        <v/>
      </c>
      <c r="M66" t="n">
        <v>0.01</v>
      </c>
      <c r="N66" t="n">
        <v>0.009999999776482582</v>
      </c>
      <c r="O66" s="43" t="n">
        <v>46254.68778045139</v>
      </c>
      <c r="P66" t="inlineStr">
        <is>
          <t>3.0.0</t>
        </is>
      </c>
      <c r="Q66" t="inlineStr">
        <is>
          <t>1.8</t>
        </is>
      </c>
    </row>
    <row r="67">
      <c r="A67" t="inlineStr">
        <is>
          <t>Grizzly XL YO</t>
        </is>
      </c>
      <c r="B67" t="inlineStr">
        <is>
          <t>Master Model G25 Grizzly XL_TwoAge_5a_6a_14b_15a_B06</t>
        </is>
      </c>
      <c r="C67" t="inlineStr">
        <is>
          <t>JAGS_Male_2000</t>
        </is>
      </c>
      <c r="D67" t="n">
        <v>0.05</v>
      </c>
      <c r="E67" t="inlineStr">
        <is>
          <t>Variable</t>
        </is>
      </c>
      <c r="F67" t="inlineStr">
        <is>
          <t>Smoking initiation and cessation variable</t>
        </is>
      </c>
      <c r="G67" t="inlineStr">
        <is>
          <t>68 - 72</t>
        </is>
      </c>
      <c r="H67" t="inlineStr">
        <is>
          <t>DIFF_ALL</t>
        </is>
      </c>
      <c r="I67" s="10" t="n">
        <v>483</v>
      </c>
      <c r="J67">
        <f>B67&amp;D67&amp;C67</f>
        <v/>
      </c>
      <c r="K67" s="10" t="n">
        <v>483</v>
      </c>
      <c r="L67" s="10">
        <f>ROUND(IF(ISNUMBER(SEARCH("Relapse",J67)),_xlfn.XLOOKUP(J67,'Pivot and Calcs'!A:A,'Pivot and Calcs'!T:T),I67),0)</f>
        <v/>
      </c>
      <c r="M67" t="n">
        <v>0.01</v>
      </c>
      <c r="N67" t="n">
        <v>0.009999999776482582</v>
      </c>
      <c r="O67" s="43" t="n">
        <v>46254.68778045139</v>
      </c>
      <c r="P67" t="inlineStr">
        <is>
          <t>3.0.0</t>
        </is>
      </c>
      <c r="Q67" t="inlineStr">
        <is>
          <t>1.8</t>
        </is>
      </c>
    </row>
    <row r="68">
      <c r="A68" t="inlineStr">
        <is>
          <t>Grizzly XL YO</t>
        </is>
      </c>
      <c r="B68" t="inlineStr">
        <is>
          <t>Master Model G25 Grizzly XL_TwoAge_5a_6a_14b_15a_B06</t>
        </is>
      </c>
      <c r="C68" t="inlineStr">
        <is>
          <t>JAGS_Male_2000</t>
        </is>
      </c>
      <c r="D68" t="n">
        <v>0.1</v>
      </c>
      <c r="E68" t="inlineStr">
        <is>
          <t>Variable</t>
        </is>
      </c>
      <c r="F68" t="inlineStr">
        <is>
          <t>Smoking initiation and cessation variable</t>
        </is>
      </c>
      <c r="G68" t="inlineStr">
        <is>
          <t>68 - 72</t>
        </is>
      </c>
      <c r="H68" t="inlineStr">
        <is>
          <t>DIFF_ALL</t>
        </is>
      </c>
      <c r="I68" s="10" t="n">
        <v>439</v>
      </c>
      <c r="J68">
        <f>B68&amp;D68&amp;C68</f>
        <v/>
      </c>
      <c r="K68" s="10" t="n">
        <v>439</v>
      </c>
      <c r="L68" s="10">
        <f>ROUND(IF(ISNUMBER(SEARCH("Relapse",J68)),_xlfn.XLOOKUP(J68,'Pivot and Calcs'!A:A,'Pivot and Calcs'!T:T),I68),0)</f>
        <v/>
      </c>
      <c r="M68" t="n">
        <v>0.01</v>
      </c>
      <c r="N68" t="n">
        <v>0.009999999776482582</v>
      </c>
      <c r="O68" s="43" t="n">
        <v>46254.68778045139</v>
      </c>
      <c r="P68" t="inlineStr">
        <is>
          <t>3.0.0</t>
        </is>
      </c>
      <c r="Q68" t="inlineStr">
        <is>
          <t>1.8</t>
        </is>
      </c>
    </row>
    <row r="69">
      <c r="A69" t="inlineStr">
        <is>
          <t>Grizzly XL YO</t>
        </is>
      </c>
      <c r="B69" t="inlineStr">
        <is>
          <t>Master Model G25 Grizzly XL_TwoAge_5a_6a_14b_15a_B06</t>
        </is>
      </c>
      <c r="C69" t="inlineStr">
        <is>
          <t>JAGS_Female_2000</t>
        </is>
      </c>
      <c r="D69" t="n">
        <v>0.05</v>
      </c>
      <c r="E69" t="inlineStr">
        <is>
          <t>Variable</t>
        </is>
      </c>
      <c r="F69" t="inlineStr">
        <is>
          <t>Smoking initiation and cessation variable</t>
        </is>
      </c>
      <c r="G69" t="inlineStr">
        <is>
          <t>68 - 72</t>
        </is>
      </c>
      <c r="H69" t="inlineStr">
        <is>
          <t>DIFF_ALL</t>
        </is>
      </c>
      <c r="I69" s="10" t="n">
        <v>412</v>
      </c>
      <c r="J69">
        <f>B69&amp;D69&amp;C69</f>
        <v/>
      </c>
      <c r="K69" s="10" t="n">
        <v>412</v>
      </c>
      <c r="L69" s="10">
        <f>ROUND(IF(ISNUMBER(SEARCH("Relapse",J69)),_xlfn.XLOOKUP(J69,'Pivot and Calcs'!A:A,'Pivot and Calcs'!T:T),I69),0)</f>
        <v/>
      </c>
      <c r="M69" t="n">
        <v>0.01</v>
      </c>
      <c r="N69" t="n">
        <v>0.009999999776482582</v>
      </c>
      <c r="O69" s="43" t="n">
        <v>46254.68778046296</v>
      </c>
      <c r="P69" t="inlineStr">
        <is>
          <t>3.0.0</t>
        </is>
      </c>
      <c r="Q69" t="inlineStr">
        <is>
          <t>1.8</t>
        </is>
      </c>
    </row>
    <row r="70">
      <c r="A70" t="inlineStr">
        <is>
          <t>Grizzly XL YO</t>
        </is>
      </c>
      <c r="B70" t="inlineStr">
        <is>
          <t>Master Model G25 Grizzly XL_TwoAge_5a_6a_14b_15a_B06</t>
        </is>
      </c>
      <c r="C70" t="inlineStr">
        <is>
          <t>JAGS_Female_2000</t>
        </is>
      </c>
      <c r="D70" t="n">
        <v>0.1</v>
      </c>
      <c r="E70" t="inlineStr">
        <is>
          <t>Variable</t>
        </is>
      </c>
      <c r="F70" t="inlineStr">
        <is>
          <t>Smoking initiation and cessation variable</t>
        </is>
      </c>
      <c r="G70" t="inlineStr">
        <is>
          <t>68 - 72</t>
        </is>
      </c>
      <c r="H70" t="inlineStr">
        <is>
          <t>DIFF_ALL</t>
        </is>
      </c>
      <c r="I70" s="10" t="n">
        <v>375</v>
      </c>
      <c r="J70">
        <f>B70&amp;D70&amp;C70</f>
        <v/>
      </c>
      <c r="K70" s="10" t="n">
        <v>375</v>
      </c>
      <c r="L70" s="10">
        <f>ROUND(IF(ISNUMBER(SEARCH("Relapse",J70)),_xlfn.XLOOKUP(J70,'Pivot and Calcs'!A:A,'Pivot and Calcs'!T:T),I70),0)</f>
        <v/>
      </c>
      <c r="M70" t="n">
        <v>0.01</v>
      </c>
      <c r="N70" t="n">
        <v>0.009999999776482582</v>
      </c>
      <c r="O70" s="43" t="n">
        <v>46254.68778046296</v>
      </c>
      <c r="P70" t="inlineStr">
        <is>
          <t>3.0.0</t>
        </is>
      </c>
      <c r="Q70" t="inlineStr">
        <is>
          <t>1.8</t>
        </is>
      </c>
    </row>
    <row r="71">
      <c r="A71" t="inlineStr">
        <is>
          <t>Grizzly XL YO</t>
        </is>
      </c>
      <c r="B71" t="inlineStr">
        <is>
          <t>Master Model G25 Grizzly XL_TwoAge_5a_6a_14b_15a_B07</t>
        </is>
      </c>
      <c r="C71" t="inlineStr">
        <is>
          <t>JAGS_Male_2000</t>
        </is>
      </c>
      <c r="D71" t="n">
        <v>0.05</v>
      </c>
      <c r="E71" t="inlineStr">
        <is>
          <t>Variable</t>
        </is>
      </c>
      <c r="F71" t="inlineStr">
        <is>
          <t>Smoking initiation and cessation variable</t>
        </is>
      </c>
      <c r="G71" t="inlineStr">
        <is>
          <t>68 - 72</t>
        </is>
      </c>
      <c r="H71" t="inlineStr">
        <is>
          <t>DIFF_ALL</t>
        </is>
      </c>
      <c r="I71" s="10" t="n">
        <v>241</v>
      </c>
      <c r="J71">
        <f>B71&amp;D71&amp;C71</f>
        <v/>
      </c>
      <c r="K71" s="10" t="n">
        <v>241</v>
      </c>
      <c r="L71" s="10">
        <f>ROUND(IF(ISNUMBER(SEARCH("Relapse",J71)),_xlfn.XLOOKUP(J71,'Pivot and Calcs'!A:A,'Pivot and Calcs'!T:T),I71),0)</f>
        <v/>
      </c>
      <c r="M71" t="n">
        <v>0.01</v>
      </c>
      <c r="N71" t="n">
        <v>0.009999999776482582</v>
      </c>
      <c r="O71" s="43" t="n">
        <v>46254.68778046296</v>
      </c>
      <c r="P71" t="inlineStr">
        <is>
          <t>3.0.0</t>
        </is>
      </c>
      <c r="Q71" t="inlineStr">
        <is>
          <t>1.8</t>
        </is>
      </c>
    </row>
    <row r="72">
      <c r="A72" t="inlineStr">
        <is>
          <t>Grizzly XL YO</t>
        </is>
      </c>
      <c r="B72" t="inlineStr">
        <is>
          <t>Master Model G25 Grizzly XL_TwoAge_5a_6a_14b_15a_B07</t>
        </is>
      </c>
      <c r="C72" t="inlineStr">
        <is>
          <t>JAGS_Male_2000</t>
        </is>
      </c>
      <c r="D72" t="n">
        <v>0.1</v>
      </c>
      <c r="E72" t="inlineStr">
        <is>
          <t>Variable</t>
        </is>
      </c>
      <c r="F72" t="inlineStr">
        <is>
          <t>Smoking initiation and cessation variable</t>
        </is>
      </c>
      <c r="G72" t="inlineStr">
        <is>
          <t>68 - 72</t>
        </is>
      </c>
      <c r="H72" t="inlineStr">
        <is>
          <t>DIFF_ALL</t>
        </is>
      </c>
      <c r="I72" s="10" t="n">
        <v>220</v>
      </c>
      <c r="J72">
        <f>B72&amp;D72&amp;C72</f>
        <v/>
      </c>
      <c r="K72" s="10" t="n">
        <v>220</v>
      </c>
      <c r="L72" s="10">
        <f>ROUND(IF(ISNUMBER(SEARCH("Relapse",J72)),_xlfn.XLOOKUP(J72,'Pivot and Calcs'!A:A,'Pivot and Calcs'!T:T),I72),0)</f>
        <v/>
      </c>
      <c r="M72" t="n">
        <v>0.01</v>
      </c>
      <c r="N72" t="n">
        <v>0.009999999776482582</v>
      </c>
      <c r="O72" s="43" t="n">
        <v>46254.68778046296</v>
      </c>
      <c r="P72" t="inlineStr">
        <is>
          <t>3.0.0</t>
        </is>
      </c>
      <c r="Q72" t="inlineStr">
        <is>
          <t>1.8</t>
        </is>
      </c>
    </row>
    <row r="73">
      <c r="A73" t="inlineStr">
        <is>
          <t>Grizzly XL YO</t>
        </is>
      </c>
      <c r="B73" t="inlineStr">
        <is>
          <t>Master Model G25 Grizzly XL_TwoAge_5a_6a_14b_15a_B07</t>
        </is>
      </c>
      <c r="C73" t="inlineStr">
        <is>
          <t>JAGS_Female_2000</t>
        </is>
      </c>
      <c r="D73" t="n">
        <v>0.05</v>
      </c>
      <c r="E73" t="inlineStr">
        <is>
          <t>Variable</t>
        </is>
      </c>
      <c r="F73" t="inlineStr">
        <is>
          <t>Smoking initiation and cessation variable</t>
        </is>
      </c>
      <c r="G73" t="inlineStr">
        <is>
          <t>68 - 72</t>
        </is>
      </c>
      <c r="H73" t="inlineStr">
        <is>
          <t>DIFF_ALL</t>
        </is>
      </c>
      <c r="I73" s="10" t="n">
        <v>211</v>
      </c>
      <c r="J73">
        <f>B73&amp;D73&amp;C73</f>
        <v/>
      </c>
      <c r="K73" s="10" t="n">
        <v>211</v>
      </c>
      <c r="L73" s="10">
        <f>ROUND(IF(ISNUMBER(SEARCH("Relapse",J73)),_xlfn.XLOOKUP(J73,'Pivot and Calcs'!A:A,'Pivot and Calcs'!T:T),I73),0)</f>
        <v/>
      </c>
      <c r="M73" t="n">
        <v>0.01</v>
      </c>
      <c r="N73" t="n">
        <v>0.009999999776482582</v>
      </c>
      <c r="O73" s="43" t="n">
        <v>46254.68778046296</v>
      </c>
      <c r="P73" t="inlineStr">
        <is>
          <t>3.0.0</t>
        </is>
      </c>
      <c r="Q73" t="inlineStr">
        <is>
          <t>1.8</t>
        </is>
      </c>
    </row>
    <row r="74">
      <c r="A74" t="inlineStr">
        <is>
          <t>Grizzly XL YO</t>
        </is>
      </c>
      <c r="B74" t="inlineStr">
        <is>
          <t>Master Model G25 Grizzly XL_TwoAge_5a_6a_14b_15a_B07</t>
        </is>
      </c>
      <c r="C74" t="inlineStr">
        <is>
          <t>JAGS_Female_2000</t>
        </is>
      </c>
      <c r="D74" t="n">
        <v>0.1</v>
      </c>
      <c r="E74" t="inlineStr">
        <is>
          <t>Variable</t>
        </is>
      </c>
      <c r="F74" t="inlineStr">
        <is>
          <t>Smoking initiation and cessation variable</t>
        </is>
      </c>
      <c r="G74" t="inlineStr">
        <is>
          <t>68 - 72</t>
        </is>
      </c>
      <c r="H74" t="inlineStr">
        <is>
          <t>DIFF_ALL</t>
        </is>
      </c>
      <c r="I74" s="10" t="n">
        <v>193</v>
      </c>
      <c r="J74">
        <f>B74&amp;D74&amp;C74</f>
        <v/>
      </c>
      <c r="K74" s="10" t="n">
        <v>193</v>
      </c>
      <c r="L74" s="10">
        <f>ROUND(IF(ISNUMBER(SEARCH("Relapse",J74)),_xlfn.XLOOKUP(J74,'Pivot and Calcs'!A:A,'Pivot and Calcs'!T:T),I74),0)</f>
        <v/>
      </c>
      <c r="M74" t="n">
        <v>0.01</v>
      </c>
      <c r="N74" t="n">
        <v>0.009999999776482582</v>
      </c>
      <c r="O74" s="43" t="n">
        <v>46254.68778046296</v>
      </c>
      <c r="P74" t="inlineStr">
        <is>
          <t>3.0.0</t>
        </is>
      </c>
      <c r="Q74" t="inlineStr">
        <is>
          <t>1.8</t>
        </is>
      </c>
    </row>
    <row r="75">
      <c r="A75" t="inlineStr">
        <is>
          <t>Grizzly XL YO</t>
        </is>
      </c>
      <c r="B75" t="inlineStr">
        <is>
          <t>Master Model G25 Grizzly XL_TwoAge_5a_6a_14b_15a_B08</t>
        </is>
      </c>
      <c r="C75" t="inlineStr">
        <is>
          <t>JAGS_Male_2000</t>
        </is>
      </c>
      <c r="D75" t="n">
        <v>0.05</v>
      </c>
      <c r="E75" t="inlineStr">
        <is>
          <t>Variable</t>
        </is>
      </c>
      <c r="F75" t="inlineStr">
        <is>
          <t>Smoking initiation and cessation variable</t>
        </is>
      </c>
      <c r="G75" t="inlineStr">
        <is>
          <t>68 - 72</t>
        </is>
      </c>
      <c r="H75" t="inlineStr">
        <is>
          <t>DIFF_ALL</t>
        </is>
      </c>
      <c r="I75" s="10" t="n">
        <v>80</v>
      </c>
      <c r="J75">
        <f>B75&amp;D75&amp;C75</f>
        <v/>
      </c>
      <c r="K75" s="10" t="n">
        <v>80</v>
      </c>
      <c r="L75" s="10">
        <f>ROUND(IF(ISNUMBER(SEARCH("Relapse",J75)),_xlfn.XLOOKUP(J75,'Pivot and Calcs'!A:A,'Pivot and Calcs'!T:T),I75),0)</f>
        <v/>
      </c>
      <c r="M75" t="n">
        <v>0.01</v>
      </c>
      <c r="N75" t="n">
        <v>0.009999999776482582</v>
      </c>
      <c r="O75" s="43" t="n">
        <v>46254.68778046296</v>
      </c>
      <c r="P75" t="inlineStr">
        <is>
          <t>3.0.0</t>
        </is>
      </c>
      <c r="Q75" t="inlineStr">
        <is>
          <t>1.8</t>
        </is>
      </c>
    </row>
    <row r="76">
      <c r="A76" t="inlineStr">
        <is>
          <t>Grizzly XL YO</t>
        </is>
      </c>
      <c r="B76" t="inlineStr">
        <is>
          <t>Master Model G25 Grizzly XL_TwoAge_5a_6a_14b_15a_B08</t>
        </is>
      </c>
      <c r="C76" t="inlineStr">
        <is>
          <t>JAGS_Male_2000</t>
        </is>
      </c>
      <c r="D76" t="n">
        <v>0.1</v>
      </c>
      <c r="E76" t="inlineStr">
        <is>
          <t>Variable</t>
        </is>
      </c>
      <c r="F76" t="inlineStr">
        <is>
          <t>Smoking initiation and cessation variable</t>
        </is>
      </c>
      <c r="G76" t="inlineStr">
        <is>
          <t>68 - 72</t>
        </is>
      </c>
      <c r="H76" t="inlineStr">
        <is>
          <t>DIFF_ALL</t>
        </is>
      </c>
      <c r="I76" s="10" t="n">
        <v>73</v>
      </c>
      <c r="J76">
        <f>B76&amp;D76&amp;C76</f>
        <v/>
      </c>
      <c r="K76" s="10" t="n">
        <v>73</v>
      </c>
      <c r="L76" s="10">
        <f>ROUND(IF(ISNUMBER(SEARCH("Relapse",J76)),_xlfn.XLOOKUP(J76,'Pivot and Calcs'!A:A,'Pivot and Calcs'!T:T),I76),0)</f>
        <v/>
      </c>
      <c r="M76" t="n">
        <v>0.01</v>
      </c>
      <c r="N76" t="n">
        <v>0.009999999776482582</v>
      </c>
      <c r="O76" s="43" t="n">
        <v>46254.68778046296</v>
      </c>
      <c r="P76" t="inlineStr">
        <is>
          <t>3.0.0</t>
        </is>
      </c>
      <c r="Q76" t="inlineStr">
        <is>
          <t>1.8</t>
        </is>
      </c>
    </row>
    <row r="77">
      <c r="A77" t="inlineStr">
        <is>
          <t>Grizzly XL YO</t>
        </is>
      </c>
      <c r="B77" t="inlineStr">
        <is>
          <t>Master Model G25 Grizzly XL_TwoAge_5a_6a_14b_15a_B08</t>
        </is>
      </c>
      <c r="C77" t="inlineStr">
        <is>
          <t>JAGS_Female_2000</t>
        </is>
      </c>
      <c r="D77" t="n">
        <v>0.05</v>
      </c>
      <c r="E77" t="inlineStr">
        <is>
          <t>Variable</t>
        </is>
      </c>
      <c r="F77" t="inlineStr">
        <is>
          <t>Smoking initiation and cessation variable</t>
        </is>
      </c>
      <c r="G77" t="inlineStr">
        <is>
          <t>68 - 72</t>
        </is>
      </c>
      <c r="H77" t="inlineStr">
        <is>
          <t>DIFF_ALL</t>
        </is>
      </c>
      <c r="I77" s="10" t="n">
        <v>72</v>
      </c>
      <c r="J77">
        <f>B77&amp;D77&amp;C77</f>
        <v/>
      </c>
      <c r="K77" s="10" t="n">
        <v>72</v>
      </c>
      <c r="L77" s="10">
        <f>ROUND(IF(ISNUMBER(SEARCH("Relapse",J77)),_xlfn.XLOOKUP(J77,'Pivot and Calcs'!A:A,'Pivot and Calcs'!T:T),I77),0)</f>
        <v/>
      </c>
      <c r="M77" t="n">
        <v>0.01</v>
      </c>
      <c r="N77" t="n">
        <v>0.009999999776482582</v>
      </c>
      <c r="O77" s="43" t="n">
        <v>46254.68778046296</v>
      </c>
      <c r="P77" t="inlineStr">
        <is>
          <t>3.0.0</t>
        </is>
      </c>
      <c r="Q77" t="inlineStr">
        <is>
          <t>1.8</t>
        </is>
      </c>
    </row>
    <row r="78">
      <c r="A78" t="inlineStr">
        <is>
          <t>Grizzly XL YO</t>
        </is>
      </c>
      <c r="B78" t="inlineStr">
        <is>
          <t>Master Model G25 Grizzly XL_TwoAge_5a_6a_14b_15a_B08</t>
        </is>
      </c>
      <c r="C78" t="inlineStr">
        <is>
          <t>JAGS_Female_2000</t>
        </is>
      </c>
      <c r="D78" t="n">
        <v>0.1</v>
      </c>
      <c r="E78" t="inlineStr">
        <is>
          <t>Variable</t>
        </is>
      </c>
      <c r="F78" t="inlineStr">
        <is>
          <t>Smoking initiation and cessation variable</t>
        </is>
      </c>
      <c r="G78" t="inlineStr">
        <is>
          <t>68 - 72</t>
        </is>
      </c>
      <c r="H78" t="inlineStr">
        <is>
          <t>DIFF_ALL</t>
        </is>
      </c>
      <c r="I78" s="10" t="n">
        <v>66</v>
      </c>
      <c r="J78">
        <f>B78&amp;D78&amp;C78</f>
        <v/>
      </c>
      <c r="K78" s="10" t="n">
        <v>66</v>
      </c>
      <c r="L78" s="10">
        <f>ROUND(IF(ISNUMBER(SEARCH("Relapse",J78)),_xlfn.XLOOKUP(J78,'Pivot and Calcs'!A:A,'Pivot and Calcs'!T:T),I78),0)</f>
        <v/>
      </c>
      <c r="M78" t="n">
        <v>0.01</v>
      </c>
      <c r="N78" t="n">
        <v>0.009999999776482582</v>
      </c>
      <c r="O78" s="43" t="n">
        <v>46254.68778046296</v>
      </c>
      <c r="P78" t="inlineStr">
        <is>
          <t>3.0.0</t>
        </is>
      </c>
      <c r="Q78" t="inlineStr">
        <is>
          <t>1.8</t>
        </is>
      </c>
    </row>
    <row r="79">
      <c r="A79" t="inlineStr">
        <is>
          <t>Grizzly XL YO</t>
        </is>
      </c>
      <c r="B79" t="inlineStr">
        <is>
          <t>Master Model G25 Grizzly XL_TwoAge_5a_6a_14b_15a_B09</t>
        </is>
      </c>
      <c r="C79" t="inlineStr">
        <is>
          <t>JAGS_Male_2000</t>
        </is>
      </c>
      <c r="D79" t="n">
        <v>0.05</v>
      </c>
      <c r="E79" t="inlineStr">
        <is>
          <t>Variable</t>
        </is>
      </c>
      <c r="F79" t="inlineStr">
        <is>
          <t>Smoking initiation and cessation variable</t>
        </is>
      </c>
      <c r="G79" t="inlineStr">
        <is>
          <t>68 - 72</t>
        </is>
      </c>
      <c r="H79" t="inlineStr">
        <is>
          <t>DIFF_ALL</t>
        </is>
      </c>
      <c r="I79" s="10" t="n">
        <v>22</v>
      </c>
      <c r="J79">
        <f>B79&amp;D79&amp;C79</f>
        <v/>
      </c>
      <c r="K79" s="10" t="n">
        <v>22</v>
      </c>
      <c r="L79" s="10">
        <f>ROUND(IF(ISNUMBER(SEARCH("Relapse",J79)),_xlfn.XLOOKUP(J79,'Pivot and Calcs'!A:A,'Pivot and Calcs'!T:T),I79),0)</f>
        <v/>
      </c>
      <c r="M79" t="n">
        <v>0.01</v>
      </c>
      <c r="N79" t="n">
        <v>0.009999999776482582</v>
      </c>
      <c r="O79" s="43" t="n">
        <v>46254.68778046296</v>
      </c>
      <c r="P79" t="inlineStr">
        <is>
          <t>3.0.0</t>
        </is>
      </c>
      <c r="Q79" t="inlineStr">
        <is>
          <t>1.8</t>
        </is>
      </c>
    </row>
    <row r="80">
      <c r="A80" t="inlineStr">
        <is>
          <t>Grizzly XL YO</t>
        </is>
      </c>
      <c r="B80" t="inlineStr">
        <is>
          <t>Master Model G25 Grizzly XL_TwoAge_5a_6a_14b_15a_B09</t>
        </is>
      </c>
      <c r="C80" t="inlineStr">
        <is>
          <t>JAGS_Male_2000</t>
        </is>
      </c>
      <c r="D80" t="n">
        <v>0.1</v>
      </c>
      <c r="E80" t="inlineStr">
        <is>
          <t>Variable</t>
        </is>
      </c>
      <c r="F80" t="inlineStr">
        <is>
          <t>Smoking initiation and cessation variable</t>
        </is>
      </c>
      <c r="G80" t="inlineStr">
        <is>
          <t>68 - 72</t>
        </is>
      </c>
      <c r="H80" t="inlineStr">
        <is>
          <t>DIFF_ALL</t>
        </is>
      </c>
      <c r="I80" s="10" t="n">
        <v>20</v>
      </c>
      <c r="J80">
        <f>B80&amp;D80&amp;C80</f>
        <v/>
      </c>
      <c r="K80" s="10" t="n">
        <v>20</v>
      </c>
      <c r="L80" s="10">
        <f>ROUND(IF(ISNUMBER(SEARCH("Relapse",J80)),_xlfn.XLOOKUP(J80,'Pivot and Calcs'!A:A,'Pivot and Calcs'!T:T),I80),0)</f>
        <v/>
      </c>
      <c r="M80" t="n">
        <v>0.01</v>
      </c>
      <c r="N80" t="n">
        <v>0.009999999776482582</v>
      </c>
      <c r="O80" s="43" t="n">
        <v>46254.68778046296</v>
      </c>
      <c r="P80" t="inlineStr">
        <is>
          <t>3.0.0</t>
        </is>
      </c>
      <c r="Q80" t="inlineStr">
        <is>
          <t>1.8</t>
        </is>
      </c>
    </row>
    <row r="81">
      <c r="A81" t="inlineStr">
        <is>
          <t>Grizzly XL YO</t>
        </is>
      </c>
      <c r="B81" t="inlineStr">
        <is>
          <t>Master Model G25 Grizzly XL_TwoAge_5a_6a_14b_15a_B09</t>
        </is>
      </c>
      <c r="C81" t="inlineStr">
        <is>
          <t>JAGS_Female_2000</t>
        </is>
      </c>
      <c r="D81" t="n">
        <v>0.05</v>
      </c>
      <c r="E81" t="inlineStr">
        <is>
          <t>Variable</t>
        </is>
      </c>
      <c r="F81" t="inlineStr">
        <is>
          <t>Smoking initiation and cessation variable</t>
        </is>
      </c>
      <c r="G81" t="inlineStr">
        <is>
          <t>68 - 72</t>
        </is>
      </c>
      <c r="H81" t="inlineStr">
        <is>
          <t>DIFF_ALL</t>
        </is>
      </c>
      <c r="I81" s="10" t="n">
        <v>21</v>
      </c>
      <c r="J81">
        <f>B81&amp;D81&amp;C81</f>
        <v/>
      </c>
      <c r="K81" s="10" t="n">
        <v>21</v>
      </c>
      <c r="L81" s="10">
        <f>ROUND(IF(ISNUMBER(SEARCH("Relapse",J81)),_xlfn.XLOOKUP(J81,'Pivot and Calcs'!A:A,'Pivot and Calcs'!T:T),I81),0)</f>
        <v/>
      </c>
      <c r="M81" t="n">
        <v>0.01</v>
      </c>
      <c r="N81" t="n">
        <v>0.009999999776482582</v>
      </c>
      <c r="O81" s="43" t="n">
        <v>46254.68778046296</v>
      </c>
      <c r="P81" t="inlineStr">
        <is>
          <t>3.0.0</t>
        </is>
      </c>
      <c r="Q81" t="inlineStr">
        <is>
          <t>1.8</t>
        </is>
      </c>
    </row>
    <row r="82">
      <c r="A82" t="inlineStr">
        <is>
          <t>Grizzly XL YO</t>
        </is>
      </c>
      <c r="B82" t="inlineStr">
        <is>
          <t>Master Model G25 Grizzly XL_TwoAge_5a_6a_14b_15a_B09</t>
        </is>
      </c>
      <c r="C82" t="inlineStr">
        <is>
          <t>JAGS_Female_2000</t>
        </is>
      </c>
      <c r="D82" t="n">
        <v>0.1</v>
      </c>
      <c r="E82" t="inlineStr">
        <is>
          <t>Variable</t>
        </is>
      </c>
      <c r="F82" t="inlineStr">
        <is>
          <t>Smoking initiation and cessation variable</t>
        </is>
      </c>
      <c r="G82" t="inlineStr">
        <is>
          <t>68 - 72</t>
        </is>
      </c>
      <c r="H82" t="inlineStr">
        <is>
          <t>DIFF_ALL</t>
        </is>
      </c>
      <c r="I82" s="10" t="n">
        <v>19</v>
      </c>
      <c r="J82">
        <f>B82&amp;D82&amp;C82</f>
        <v/>
      </c>
      <c r="K82" s="10" t="n">
        <v>19</v>
      </c>
      <c r="L82" s="10">
        <f>ROUND(IF(ISNUMBER(SEARCH("Relapse",J82)),_xlfn.XLOOKUP(J82,'Pivot and Calcs'!A:A,'Pivot and Calcs'!T:T),I82),0)</f>
        <v/>
      </c>
      <c r="M82" t="n">
        <v>0.01</v>
      </c>
      <c r="N82" t="n">
        <v>0.009999999776482582</v>
      </c>
      <c r="O82" s="43" t="n">
        <v>46254.68778046296</v>
      </c>
      <c r="P82" t="inlineStr">
        <is>
          <t>3.0.0</t>
        </is>
      </c>
      <c r="Q82" t="inlineStr">
        <is>
          <t>1.8</t>
        </is>
      </c>
    </row>
    <row r="83">
      <c r="A83" t="inlineStr">
        <is>
          <t>Grizzly XL YO</t>
        </is>
      </c>
      <c r="B83" t="inlineStr">
        <is>
          <t>Master Model G25 Grizzly XL_TwoAge_5a_6a_14b_15a_B10</t>
        </is>
      </c>
      <c r="C83" t="inlineStr">
        <is>
          <t>JAGS_Male_2000</t>
        </is>
      </c>
      <c r="D83" t="n">
        <v>0.05</v>
      </c>
      <c r="E83" t="inlineStr">
        <is>
          <t>Variable</t>
        </is>
      </c>
      <c r="F83" t="inlineStr">
        <is>
          <t>Smoking initiation and cessation variable</t>
        </is>
      </c>
      <c r="G83" t="inlineStr">
        <is>
          <t>68 - 72</t>
        </is>
      </c>
      <c r="H83" t="inlineStr">
        <is>
          <t>DIFF_ALL</t>
        </is>
      </c>
      <c r="I83" s="10" t="n">
        <v>9</v>
      </c>
      <c r="J83">
        <f>B83&amp;D83&amp;C83</f>
        <v/>
      </c>
      <c r="K83" s="10" t="n">
        <v>9</v>
      </c>
      <c r="L83" s="10">
        <f>ROUND(IF(ISNUMBER(SEARCH("Relapse",J83)),_xlfn.XLOOKUP(J83,'Pivot and Calcs'!A:A,'Pivot and Calcs'!T:T),I83),0)</f>
        <v/>
      </c>
      <c r="M83" t="n">
        <v>0.01</v>
      </c>
      <c r="N83" t="n">
        <v>0.009999999776482582</v>
      </c>
      <c r="O83" s="43" t="n">
        <v>46254.68778046296</v>
      </c>
      <c r="P83" t="inlineStr">
        <is>
          <t>3.0.0</t>
        </is>
      </c>
      <c r="Q83" t="inlineStr">
        <is>
          <t>1.8</t>
        </is>
      </c>
    </row>
    <row r="84">
      <c r="A84" t="inlineStr">
        <is>
          <t>Grizzly XL YO</t>
        </is>
      </c>
      <c r="B84" t="inlineStr">
        <is>
          <t>Master Model G25 Grizzly XL_TwoAge_5a_6a_14b_15a_B10</t>
        </is>
      </c>
      <c r="C84" t="inlineStr">
        <is>
          <t>JAGS_Male_2000</t>
        </is>
      </c>
      <c r="D84" t="n">
        <v>0.1</v>
      </c>
      <c r="E84" t="inlineStr">
        <is>
          <t>Variable</t>
        </is>
      </c>
      <c r="F84" t="inlineStr">
        <is>
          <t>Smoking initiation and cessation variable</t>
        </is>
      </c>
      <c r="G84" t="inlineStr">
        <is>
          <t>68 - 72</t>
        </is>
      </c>
      <c r="H84" t="inlineStr">
        <is>
          <t>DIFF_ALL</t>
        </is>
      </c>
      <c r="I84" s="10" t="n">
        <v>8</v>
      </c>
      <c r="J84">
        <f>B84&amp;D84&amp;C84</f>
        <v/>
      </c>
      <c r="K84" s="10" t="n">
        <v>8</v>
      </c>
      <c r="L84" s="10">
        <f>ROUND(IF(ISNUMBER(SEARCH("Relapse",J84)),_xlfn.XLOOKUP(J84,'Pivot and Calcs'!A:A,'Pivot and Calcs'!T:T),I84),0)</f>
        <v/>
      </c>
      <c r="M84" t="n">
        <v>0.01</v>
      </c>
      <c r="N84" t="n">
        <v>0.009999999776482582</v>
      </c>
      <c r="O84" s="43" t="n">
        <v>46254.68778046296</v>
      </c>
      <c r="P84" t="inlineStr">
        <is>
          <t>3.0.0</t>
        </is>
      </c>
      <c r="Q84" t="inlineStr">
        <is>
          <t>1.8</t>
        </is>
      </c>
    </row>
    <row r="85">
      <c r="A85" t="inlineStr">
        <is>
          <t>Grizzly XL YO</t>
        </is>
      </c>
      <c r="B85" t="inlineStr">
        <is>
          <t>Master Model G25 Grizzly XL_TwoAge_5a_6a_14b_15a_B10</t>
        </is>
      </c>
      <c r="C85" t="inlineStr">
        <is>
          <t>JAGS_Female_2000</t>
        </is>
      </c>
      <c r="D85" t="n">
        <v>0.05</v>
      </c>
      <c r="E85" t="inlineStr">
        <is>
          <t>Variable</t>
        </is>
      </c>
      <c r="F85" t="inlineStr">
        <is>
          <t>Smoking initiation and cessation variable</t>
        </is>
      </c>
      <c r="G85" t="inlineStr">
        <is>
          <t>68 - 72</t>
        </is>
      </c>
      <c r="H85" t="inlineStr">
        <is>
          <t>DIFF_ALL</t>
        </is>
      </c>
      <c r="I85" s="10" t="n">
        <v>8</v>
      </c>
      <c r="J85">
        <f>B85&amp;D85&amp;C85</f>
        <v/>
      </c>
      <c r="K85" s="10" t="n">
        <v>8</v>
      </c>
      <c r="L85" s="10">
        <f>ROUND(IF(ISNUMBER(SEARCH("Relapse",J85)),_xlfn.XLOOKUP(J85,'Pivot and Calcs'!A:A,'Pivot and Calcs'!T:T),I85),0)</f>
        <v/>
      </c>
      <c r="M85" t="n">
        <v>0.01</v>
      </c>
      <c r="N85" t="n">
        <v>0.009999999776482582</v>
      </c>
      <c r="O85" s="43" t="n">
        <v>46254.68778046296</v>
      </c>
      <c r="P85" t="inlineStr">
        <is>
          <t>3.0.0</t>
        </is>
      </c>
      <c r="Q85" t="inlineStr">
        <is>
          <t>1.8</t>
        </is>
      </c>
    </row>
    <row r="86">
      <c r="A86" t="inlineStr">
        <is>
          <t>Grizzly XL YO</t>
        </is>
      </c>
      <c r="B86" t="inlineStr">
        <is>
          <t>Master Model G25 Grizzly XL_TwoAge_5a_6a_14b_15a_B10</t>
        </is>
      </c>
      <c r="C86" t="inlineStr">
        <is>
          <t>JAGS_Female_2000</t>
        </is>
      </c>
      <c r="D86" t="n">
        <v>0.1</v>
      </c>
      <c r="E86" t="inlineStr">
        <is>
          <t>Variable</t>
        </is>
      </c>
      <c r="F86" t="inlineStr">
        <is>
          <t>Smoking initiation and cessation variable</t>
        </is>
      </c>
      <c r="G86" t="inlineStr">
        <is>
          <t>68 - 72</t>
        </is>
      </c>
      <c r="H86" t="inlineStr">
        <is>
          <t>DIFF_ALL</t>
        </is>
      </c>
      <c r="I86" s="10" t="n">
        <v>7</v>
      </c>
      <c r="J86">
        <f>B86&amp;D86&amp;C86</f>
        <v/>
      </c>
      <c r="K86" s="10" t="n">
        <v>7</v>
      </c>
      <c r="L86" s="10">
        <f>ROUND(IF(ISNUMBER(SEARCH("Relapse",J86)),_xlfn.XLOOKUP(J86,'Pivot and Calcs'!A:A,'Pivot and Calcs'!T:T),I86),0)</f>
        <v/>
      </c>
      <c r="M86" t="n">
        <v>0.01</v>
      </c>
      <c r="N86" t="n">
        <v>0.009999999776482582</v>
      </c>
      <c r="O86" s="43" t="n">
        <v>46254.68778047454</v>
      </c>
      <c r="P86" t="inlineStr">
        <is>
          <t>3.0.0</t>
        </is>
      </c>
      <c r="Q86" t="inlineStr">
        <is>
          <t>1.8</t>
        </is>
      </c>
    </row>
    <row r="87">
      <c r="A87" t="inlineStr">
        <is>
          <t>Grizzly XL YO</t>
        </is>
      </c>
      <c r="B87" t="inlineStr">
        <is>
          <t>Master Model G25 Grizzly XL_TwoAge_5a_6a_14b_15a_B11</t>
        </is>
      </c>
      <c r="C87" t="inlineStr">
        <is>
          <t>JAGS_Male_2000</t>
        </is>
      </c>
      <c r="D87" t="n">
        <v>0.05</v>
      </c>
      <c r="E87" t="inlineStr">
        <is>
          <t>Variable</t>
        </is>
      </c>
      <c r="F87" t="inlineStr">
        <is>
          <t>Smoking initiation and cessation variable</t>
        </is>
      </c>
      <c r="G87" t="inlineStr">
        <is>
          <t>68 - 72</t>
        </is>
      </c>
      <c r="H87" t="inlineStr">
        <is>
          <t>DIFF_ALL</t>
        </is>
      </c>
      <c r="I87" s="10" t="n">
        <v>2</v>
      </c>
      <c r="J87">
        <f>B87&amp;D87&amp;C87</f>
        <v/>
      </c>
      <c r="K87" s="10" t="n">
        <v>2</v>
      </c>
      <c r="L87" s="10">
        <f>ROUND(IF(ISNUMBER(SEARCH("Relapse",J87)),_xlfn.XLOOKUP(J87,'Pivot and Calcs'!A:A,'Pivot and Calcs'!T:T),I87),0)</f>
        <v/>
      </c>
      <c r="M87" t="n">
        <v>0.01</v>
      </c>
      <c r="N87" t="n">
        <v>0.009999999776482582</v>
      </c>
      <c r="O87" s="43" t="n">
        <v>46254.68778047454</v>
      </c>
      <c r="P87" t="inlineStr">
        <is>
          <t>3.0.0</t>
        </is>
      </c>
      <c r="Q87" t="inlineStr">
        <is>
          <t>1.8</t>
        </is>
      </c>
    </row>
    <row r="88">
      <c r="A88" t="inlineStr">
        <is>
          <t>Grizzly XL YO</t>
        </is>
      </c>
      <c r="B88" t="inlineStr">
        <is>
          <t>Master Model G25 Grizzly XL_TwoAge_5a_6a_14b_15a_B11</t>
        </is>
      </c>
      <c r="C88" t="inlineStr">
        <is>
          <t>JAGS_Male_2000</t>
        </is>
      </c>
      <c r="D88" t="n">
        <v>0.1</v>
      </c>
      <c r="E88" t="inlineStr">
        <is>
          <t>Variable</t>
        </is>
      </c>
      <c r="F88" t="inlineStr">
        <is>
          <t>Smoking initiation and cessation variable</t>
        </is>
      </c>
      <c r="G88" t="inlineStr">
        <is>
          <t>68 - 72</t>
        </is>
      </c>
      <c r="H88" t="inlineStr">
        <is>
          <t>DIFF_ALL</t>
        </is>
      </c>
      <c r="I88" s="10" t="n">
        <v>2</v>
      </c>
      <c r="J88">
        <f>B88&amp;D88&amp;C88</f>
        <v/>
      </c>
      <c r="K88" s="10" t="n">
        <v>2</v>
      </c>
      <c r="L88" s="10">
        <f>ROUND(IF(ISNUMBER(SEARCH("Relapse",J88)),_xlfn.XLOOKUP(J88,'Pivot and Calcs'!A:A,'Pivot and Calcs'!T:T),I88),0)</f>
        <v/>
      </c>
      <c r="M88" t="n">
        <v>0.01</v>
      </c>
      <c r="N88" t="n">
        <v>0.009999999776482582</v>
      </c>
      <c r="O88" s="43" t="n">
        <v>46254.68778047454</v>
      </c>
      <c r="P88" t="inlineStr">
        <is>
          <t>3.0.0</t>
        </is>
      </c>
      <c r="Q88" t="inlineStr">
        <is>
          <t>1.8</t>
        </is>
      </c>
    </row>
    <row r="89">
      <c r="A89" t="inlineStr">
        <is>
          <t>Grizzly XL YO</t>
        </is>
      </c>
      <c r="B89" t="inlineStr">
        <is>
          <t>Master Model G25 Grizzly XL_TwoAge_5a_6a_14b_15a_B11</t>
        </is>
      </c>
      <c r="C89" t="inlineStr">
        <is>
          <t>JAGS_Female_2000</t>
        </is>
      </c>
      <c r="D89" t="n">
        <v>0.05</v>
      </c>
      <c r="E89" t="inlineStr">
        <is>
          <t>Variable</t>
        </is>
      </c>
      <c r="F89" t="inlineStr">
        <is>
          <t>Smoking initiation and cessation variable</t>
        </is>
      </c>
      <c r="G89" t="inlineStr">
        <is>
          <t>68 - 72</t>
        </is>
      </c>
      <c r="H89" t="inlineStr">
        <is>
          <t>DIFF_ALL</t>
        </is>
      </c>
      <c r="I89" s="10" t="n">
        <v>2</v>
      </c>
      <c r="J89">
        <f>B89&amp;D89&amp;C89</f>
        <v/>
      </c>
      <c r="K89" s="10" t="n">
        <v>2</v>
      </c>
      <c r="L89" s="10">
        <f>ROUND(IF(ISNUMBER(SEARCH("Relapse",J89)),_xlfn.XLOOKUP(J89,'Pivot and Calcs'!A:A,'Pivot and Calcs'!T:T),I89),0)</f>
        <v/>
      </c>
      <c r="M89" t="n">
        <v>0.01</v>
      </c>
      <c r="N89" t="n">
        <v>0.009999999776482582</v>
      </c>
      <c r="O89" s="43" t="n">
        <v>46254.68778047454</v>
      </c>
      <c r="P89" t="inlineStr">
        <is>
          <t>3.0.0</t>
        </is>
      </c>
      <c r="Q89" t="inlineStr">
        <is>
          <t>1.8</t>
        </is>
      </c>
    </row>
    <row r="90">
      <c r="A90" t="inlineStr">
        <is>
          <t>Grizzly XL YO</t>
        </is>
      </c>
      <c r="B90" t="inlineStr">
        <is>
          <t>Master Model G25 Grizzly XL_TwoAge_5a_6a_14b_15a_B11</t>
        </is>
      </c>
      <c r="C90" t="inlineStr">
        <is>
          <t>JAGS_Female_2000</t>
        </is>
      </c>
      <c r="D90" t="n">
        <v>0.1</v>
      </c>
      <c r="E90" t="inlineStr">
        <is>
          <t>Variable</t>
        </is>
      </c>
      <c r="F90" t="inlineStr">
        <is>
          <t>Smoking initiation and cessation variable</t>
        </is>
      </c>
      <c r="G90" t="inlineStr">
        <is>
          <t>68 - 72</t>
        </is>
      </c>
      <c r="H90" t="inlineStr">
        <is>
          <t>DIFF_ALL</t>
        </is>
      </c>
      <c r="I90" s="10" t="n">
        <v>2</v>
      </c>
      <c r="J90">
        <f>B90&amp;D90&amp;C90</f>
        <v/>
      </c>
      <c r="K90" s="10" t="n">
        <v>2</v>
      </c>
      <c r="L90" s="10">
        <f>ROUND(IF(ISNUMBER(SEARCH("Relapse",J90)),_xlfn.XLOOKUP(J90,'Pivot and Calcs'!A:A,'Pivot and Calcs'!T:T),I90),0)</f>
        <v/>
      </c>
      <c r="M90" t="n">
        <v>0.01</v>
      </c>
      <c r="N90" t="n">
        <v>0.009999999776482582</v>
      </c>
      <c r="O90" s="43" t="n">
        <v>46254.68778047454</v>
      </c>
      <c r="P90" t="inlineStr">
        <is>
          <t>3.0.0</t>
        </is>
      </c>
      <c r="Q90" t="inlineStr">
        <is>
          <t>1.8</t>
        </is>
      </c>
    </row>
    <row r="91">
      <c r="A91" t="inlineStr">
        <is>
          <t>Grizzly XL YO</t>
        </is>
      </c>
      <c r="B91" t="inlineStr">
        <is>
          <t>Master Model G10 Grizzly XL Relapse_TwoAge_B01</t>
        </is>
      </c>
      <c r="C91" t="inlineStr">
        <is>
          <t>JAGS_Male_2000</t>
        </is>
      </c>
      <c r="D91" t="n">
        <v>0.05</v>
      </c>
      <c r="E91" t="inlineStr">
        <is>
          <t>Variable</t>
        </is>
      </c>
      <c r="F91" t="inlineStr">
        <is>
          <t>Smoking initiation and cessation variable</t>
        </is>
      </c>
      <c r="G91" t="inlineStr">
        <is>
          <t>68 - 72</t>
        </is>
      </c>
      <c r="H91" t="inlineStr">
        <is>
          <t>DIFF_ALL</t>
        </is>
      </c>
      <c r="I91" s="10" t="n">
        <v>2719</v>
      </c>
      <c r="J91">
        <f>B91&amp;D91&amp;C91</f>
        <v/>
      </c>
      <c r="K91" s="10" t="n">
        <v>2472</v>
      </c>
      <c r="L91" s="10">
        <f>ROUND(IF(ISNUMBER(SEARCH("Relapse",J91)),_xlfn.XLOOKUP(J91,'Pivot and Calcs'!A:A,'Pivot and Calcs'!T:T),I91),0)</f>
        <v/>
      </c>
      <c r="M91" t="n">
        <v>0.01</v>
      </c>
      <c r="N91" t="n">
        <v>0.009999999776482582</v>
      </c>
      <c r="O91" s="43" t="n">
        <v>46254.7725318287</v>
      </c>
      <c r="P91" t="inlineStr">
        <is>
          <t>3.0.0</t>
        </is>
      </c>
      <c r="Q91" t="inlineStr">
        <is>
          <t>1.8</t>
        </is>
      </c>
    </row>
    <row r="92">
      <c r="A92" t="inlineStr">
        <is>
          <t>Grizzly XL YO</t>
        </is>
      </c>
      <c r="B92" t="inlineStr">
        <is>
          <t>Master Model G10 Grizzly XL Relapse_TwoAge_B01</t>
        </is>
      </c>
      <c r="C92" t="inlineStr">
        <is>
          <t>JAGS_Male_2000</t>
        </is>
      </c>
      <c r="D92" t="n">
        <v>0.1</v>
      </c>
      <c r="E92" t="inlineStr">
        <is>
          <t>Variable</t>
        </is>
      </c>
      <c r="F92" t="inlineStr">
        <is>
          <t>Smoking initiation and cessation variable</t>
        </is>
      </c>
      <c r="G92" t="inlineStr">
        <is>
          <t>68 - 72</t>
        </is>
      </c>
      <c r="H92" t="inlineStr">
        <is>
          <t>DIFF_ALL</t>
        </is>
      </c>
      <c r="I92" s="10" t="n">
        <v>2103</v>
      </c>
      <c r="J92">
        <f>B92&amp;D92&amp;C92</f>
        <v/>
      </c>
      <c r="K92" s="10" t="n">
        <v>1856</v>
      </c>
      <c r="L92" s="10">
        <f>ROUND(IF(ISNUMBER(SEARCH("Relapse",J92)),_xlfn.XLOOKUP(J92,'Pivot and Calcs'!A:A,'Pivot and Calcs'!T:T),I92),0)</f>
        <v/>
      </c>
      <c r="M92" t="n">
        <v>0.01</v>
      </c>
      <c r="N92" t="n">
        <v>0.009999999776482582</v>
      </c>
      <c r="O92" s="43" t="n">
        <v>46254.77253231481</v>
      </c>
      <c r="P92" t="inlineStr">
        <is>
          <t>3.0.0</t>
        </is>
      </c>
      <c r="Q92" t="inlineStr">
        <is>
          <t>1.8</t>
        </is>
      </c>
    </row>
    <row r="93">
      <c r="A93" t="inlineStr">
        <is>
          <t>Grizzly XL YO</t>
        </is>
      </c>
      <c r="B93" t="inlineStr">
        <is>
          <t>Master Model G10 Grizzly XL Relapse_TwoAge_B01</t>
        </is>
      </c>
      <c r="C93" t="inlineStr">
        <is>
          <t>JAGS_Female_2000</t>
        </is>
      </c>
      <c r="D93" t="n">
        <v>0.05</v>
      </c>
      <c r="E93" t="inlineStr">
        <is>
          <t>Variable</t>
        </is>
      </c>
      <c r="F93" t="inlineStr">
        <is>
          <t>Smoking initiation and cessation variable</t>
        </is>
      </c>
      <c r="G93" t="inlineStr">
        <is>
          <t>68 - 72</t>
        </is>
      </c>
      <c r="H93" t="inlineStr">
        <is>
          <t>DIFF_ALL</t>
        </is>
      </c>
      <c r="I93" s="10" t="n">
        <v>2326</v>
      </c>
      <c r="J93">
        <f>B93&amp;D93&amp;C93</f>
        <v/>
      </c>
      <c r="K93" s="10" t="n">
        <v>2130</v>
      </c>
      <c r="L93" s="10">
        <f>ROUND(IF(ISNUMBER(SEARCH("Relapse",J93)),_xlfn.XLOOKUP(J93,'Pivot and Calcs'!A:A,'Pivot and Calcs'!T:T),I93),0)</f>
        <v/>
      </c>
      <c r="M93" t="n">
        <v>0.01</v>
      </c>
      <c r="N93" t="n">
        <v>0.009999999776482582</v>
      </c>
      <c r="O93" s="43" t="n">
        <v>46254.7725327662</v>
      </c>
      <c r="P93" t="inlineStr">
        <is>
          <t>3.0.0</t>
        </is>
      </c>
      <c r="Q93" t="inlineStr">
        <is>
          <t>1.8</t>
        </is>
      </c>
    </row>
    <row r="94">
      <c r="A94" t="inlineStr">
        <is>
          <t>Grizzly XL YO</t>
        </is>
      </c>
      <c r="B94" t="inlineStr">
        <is>
          <t>Master Model G10 Grizzly XL Relapse_TwoAge_B01</t>
        </is>
      </c>
      <c r="C94" t="inlineStr">
        <is>
          <t>JAGS_Female_2000</t>
        </is>
      </c>
      <c r="D94" t="n">
        <v>0.1</v>
      </c>
      <c r="E94" t="inlineStr">
        <is>
          <t>Variable</t>
        </is>
      </c>
      <c r="F94" t="inlineStr">
        <is>
          <t>Smoking initiation and cessation variable</t>
        </is>
      </c>
      <c r="G94" t="inlineStr">
        <is>
          <t>68 - 72</t>
        </is>
      </c>
      <c r="H94" t="inlineStr">
        <is>
          <t>DIFF_ALL</t>
        </is>
      </c>
      <c r="I94" s="10" t="n">
        <v>1826</v>
      </c>
      <c r="J94">
        <f>B94&amp;D94&amp;C94</f>
        <v/>
      </c>
      <c r="K94" s="10" t="n">
        <v>1630</v>
      </c>
      <c r="L94" s="10">
        <f>ROUND(IF(ISNUMBER(SEARCH("Relapse",J94)),_xlfn.XLOOKUP(J94,'Pivot and Calcs'!A:A,'Pivot and Calcs'!T:T),I94),0)</f>
        <v/>
      </c>
      <c r="M94" t="n">
        <v>0.01</v>
      </c>
      <c r="N94" t="n">
        <v>0.009999999776482582</v>
      </c>
      <c r="O94" s="43" t="n">
        <v>46254.77253327546</v>
      </c>
      <c r="P94" t="inlineStr">
        <is>
          <t>3.0.0</t>
        </is>
      </c>
      <c r="Q94" t="inlineStr">
        <is>
          <t>1.8</t>
        </is>
      </c>
    </row>
    <row r="95">
      <c r="A95" t="inlineStr">
        <is>
          <t>Grizzly XL YO</t>
        </is>
      </c>
      <c r="B95" t="inlineStr">
        <is>
          <t>Master Model G10 Grizzly XL Relapse_TwoAge_B02</t>
        </is>
      </c>
      <c r="C95" t="inlineStr">
        <is>
          <t>JAGS_Male_2000</t>
        </is>
      </c>
      <c r="D95" t="n">
        <v>0.05</v>
      </c>
      <c r="E95" t="inlineStr">
        <is>
          <t>Variable</t>
        </is>
      </c>
      <c r="F95" t="inlineStr">
        <is>
          <t>Smoking initiation and cessation variable</t>
        </is>
      </c>
      <c r="G95" t="inlineStr">
        <is>
          <t>68 - 72</t>
        </is>
      </c>
      <c r="H95" t="inlineStr">
        <is>
          <t>DIFF_ALL</t>
        </is>
      </c>
      <c r="I95" s="10" t="n">
        <v>2427</v>
      </c>
      <c r="J95">
        <f>B95&amp;D95&amp;C95</f>
        <v/>
      </c>
      <c r="K95" s="10" t="n">
        <v>2180</v>
      </c>
      <c r="L95" s="10">
        <f>ROUND(IF(ISNUMBER(SEARCH("Relapse",J95)),_xlfn.XLOOKUP(J95,'Pivot and Calcs'!A:A,'Pivot and Calcs'!T:T),I95),0)</f>
        <v/>
      </c>
      <c r="M95" t="n">
        <v>0.01</v>
      </c>
      <c r="N95" t="n">
        <v>0.009999999776482582</v>
      </c>
      <c r="O95" s="43" t="n">
        <v>46254.77349832176</v>
      </c>
      <c r="P95" t="inlineStr">
        <is>
          <t>3.0.0</t>
        </is>
      </c>
      <c r="Q95" t="inlineStr">
        <is>
          <t>1.8</t>
        </is>
      </c>
    </row>
    <row r="96">
      <c r="A96" t="inlineStr">
        <is>
          <t>Grizzly XL YO</t>
        </is>
      </c>
      <c r="B96" t="inlineStr">
        <is>
          <t>Master Model G10 Grizzly XL Relapse_TwoAge_B02</t>
        </is>
      </c>
      <c r="C96" t="inlineStr">
        <is>
          <t>JAGS_Male_2000</t>
        </is>
      </c>
      <c r="D96" t="n">
        <v>0.1</v>
      </c>
      <c r="E96" t="inlineStr">
        <is>
          <t>Variable</t>
        </is>
      </c>
      <c r="F96" t="inlineStr">
        <is>
          <t>Smoking initiation and cessation variable</t>
        </is>
      </c>
      <c r="G96" t="inlineStr">
        <is>
          <t>68 - 72</t>
        </is>
      </c>
      <c r="H96" t="inlineStr">
        <is>
          <t>DIFF_ALL</t>
        </is>
      </c>
      <c r="I96" s="10" t="n">
        <v>1959</v>
      </c>
      <c r="J96">
        <f>B96&amp;D96&amp;C96</f>
        <v/>
      </c>
      <c r="K96" s="10" t="n">
        <v>1711</v>
      </c>
      <c r="L96" s="10">
        <f>ROUND(IF(ISNUMBER(SEARCH("Relapse",J96)),_xlfn.XLOOKUP(J96,'Pivot and Calcs'!A:A,'Pivot and Calcs'!T:T),I96),0)</f>
        <v/>
      </c>
      <c r="M96" t="n">
        <v>0.01</v>
      </c>
      <c r="N96" t="n">
        <v>0.009999999776482582</v>
      </c>
      <c r="O96" s="43" t="n">
        <v>46254.77349883102</v>
      </c>
      <c r="P96" t="inlineStr">
        <is>
          <t>3.0.0</t>
        </is>
      </c>
      <c r="Q96" t="inlineStr">
        <is>
          <t>1.8</t>
        </is>
      </c>
    </row>
    <row r="97">
      <c r="A97" t="inlineStr">
        <is>
          <t>Grizzly XL YO</t>
        </is>
      </c>
      <c r="B97" t="inlineStr">
        <is>
          <t>Master Model G10 Grizzly XL Relapse_TwoAge_B02</t>
        </is>
      </c>
      <c r="C97" t="inlineStr">
        <is>
          <t>JAGS_Female_2000</t>
        </is>
      </c>
      <c r="D97" t="n">
        <v>0.05</v>
      </c>
      <c r="E97" t="inlineStr">
        <is>
          <t>Variable</t>
        </is>
      </c>
      <c r="F97" t="inlineStr">
        <is>
          <t>Smoking initiation and cessation variable</t>
        </is>
      </c>
      <c r="G97" t="inlineStr">
        <is>
          <t>68 - 72</t>
        </is>
      </c>
      <c r="H97" t="inlineStr">
        <is>
          <t>DIFF_ALL</t>
        </is>
      </c>
      <c r="I97" s="10" t="n">
        <v>2039</v>
      </c>
      <c r="J97">
        <f>B97&amp;D97&amp;C97</f>
        <v/>
      </c>
      <c r="K97" s="10" t="n">
        <v>1843</v>
      </c>
      <c r="L97" s="10">
        <f>ROUND(IF(ISNUMBER(SEARCH("Relapse",J97)),_xlfn.XLOOKUP(J97,'Pivot and Calcs'!A:A,'Pivot and Calcs'!T:T),I97),0)</f>
        <v/>
      </c>
      <c r="M97" t="n">
        <v>0.01</v>
      </c>
      <c r="N97" t="n">
        <v>0.009999999776482582</v>
      </c>
      <c r="O97" s="43" t="n">
        <v>46254.7734992824</v>
      </c>
      <c r="P97" t="inlineStr">
        <is>
          <t>3.0.0</t>
        </is>
      </c>
      <c r="Q97" t="inlineStr">
        <is>
          <t>1.8</t>
        </is>
      </c>
    </row>
    <row r="98">
      <c r="A98" t="inlineStr">
        <is>
          <t>Grizzly XL YO</t>
        </is>
      </c>
      <c r="B98" t="inlineStr">
        <is>
          <t>Master Model G10 Grizzly XL Relapse_TwoAge_B02</t>
        </is>
      </c>
      <c r="C98" t="inlineStr">
        <is>
          <t>JAGS_Female_2000</t>
        </is>
      </c>
      <c r="D98" t="n">
        <v>0.1</v>
      </c>
      <c r="E98" t="inlineStr">
        <is>
          <t>Variable</t>
        </is>
      </c>
      <c r="F98" t="inlineStr">
        <is>
          <t>Smoking initiation and cessation variable</t>
        </is>
      </c>
      <c r="G98" t="inlineStr">
        <is>
          <t>68 - 72</t>
        </is>
      </c>
      <c r="H98" t="inlineStr">
        <is>
          <t>DIFF_ALL</t>
        </is>
      </c>
      <c r="I98" s="10" t="n">
        <v>1662</v>
      </c>
      <c r="J98">
        <f>B98&amp;D98&amp;C98</f>
        <v/>
      </c>
      <c r="K98" s="10" t="n">
        <v>1465</v>
      </c>
      <c r="L98" s="10">
        <f>ROUND(IF(ISNUMBER(SEARCH("Relapse",J98)),_xlfn.XLOOKUP(J98,'Pivot and Calcs'!A:A,'Pivot and Calcs'!T:T),I98),0)</f>
        <v/>
      </c>
      <c r="M98" t="n">
        <v>0.01</v>
      </c>
      <c r="N98" t="n">
        <v>0.009999999776482582</v>
      </c>
      <c r="O98" s="43" t="n">
        <v>46254.77349971065</v>
      </c>
      <c r="P98" t="inlineStr">
        <is>
          <t>3.0.0</t>
        </is>
      </c>
      <c r="Q98" t="inlineStr">
        <is>
          <t>1.8</t>
        </is>
      </c>
    </row>
    <row r="99">
      <c r="A99" t="inlineStr">
        <is>
          <t>Grizzly XL YO</t>
        </is>
      </c>
      <c r="B99" t="inlineStr">
        <is>
          <t>Master Model G10 Grizzly XL Relapse_TwoAge_B03</t>
        </is>
      </c>
      <c r="C99" t="inlineStr">
        <is>
          <t>JAGS_Male_2000</t>
        </is>
      </c>
      <c r="D99" t="n">
        <v>0.05</v>
      </c>
      <c r="E99" t="inlineStr">
        <is>
          <t>Variable</t>
        </is>
      </c>
      <c r="F99" t="inlineStr">
        <is>
          <t>Smoking initiation and cessation variable</t>
        </is>
      </c>
      <c r="G99" t="inlineStr">
        <is>
          <t>68 - 72</t>
        </is>
      </c>
      <c r="H99" t="inlineStr">
        <is>
          <t>DIFF_ALL</t>
        </is>
      </c>
      <c r="I99" s="10" t="n">
        <v>1612</v>
      </c>
      <c r="J99">
        <f>B99&amp;D99&amp;C99</f>
        <v/>
      </c>
      <c r="K99" s="10" t="n">
        <v>1366</v>
      </c>
      <c r="L99" s="10">
        <f>ROUND(IF(ISNUMBER(SEARCH("Relapse",J99)),_xlfn.XLOOKUP(J99,'Pivot and Calcs'!A:A,'Pivot and Calcs'!T:T),I99),0)</f>
        <v/>
      </c>
      <c r="M99" t="n">
        <v>0.01</v>
      </c>
      <c r="N99" t="n">
        <v>0.009999999776482582</v>
      </c>
      <c r="O99" s="43" t="n">
        <v>46254.77370252315</v>
      </c>
      <c r="P99" t="inlineStr">
        <is>
          <t>3.0.0</t>
        </is>
      </c>
      <c r="Q99" t="inlineStr">
        <is>
          <t>1.8</t>
        </is>
      </c>
    </row>
    <row r="100">
      <c r="A100" t="inlineStr">
        <is>
          <t>Grizzly XL YO</t>
        </is>
      </c>
      <c r="B100" t="inlineStr">
        <is>
          <t>Master Model G10 Grizzly XL Relapse_TwoAge_B03</t>
        </is>
      </c>
      <c r="C100" t="inlineStr">
        <is>
          <t>JAGS_Male_2000</t>
        </is>
      </c>
      <c r="D100" t="n">
        <v>0.1</v>
      </c>
      <c r="E100" t="inlineStr">
        <is>
          <t>Variable</t>
        </is>
      </c>
      <c r="F100" t="inlineStr">
        <is>
          <t>Smoking initiation and cessation variable</t>
        </is>
      </c>
      <c r="G100" t="inlineStr">
        <is>
          <t>68 - 72</t>
        </is>
      </c>
      <c r="H100" t="inlineStr">
        <is>
          <t>DIFF_ALL</t>
        </is>
      </c>
      <c r="I100" s="10" t="n">
        <v>1377</v>
      </c>
      <c r="J100">
        <f>B100&amp;D100&amp;C100</f>
        <v/>
      </c>
      <c r="K100" s="10" t="n">
        <v>1129</v>
      </c>
      <c r="L100" s="10">
        <f>ROUND(IF(ISNUMBER(SEARCH("Relapse",J100)),_xlfn.XLOOKUP(J100,'Pivot and Calcs'!A:A,'Pivot and Calcs'!T:T),I100),0)</f>
        <v/>
      </c>
      <c r="M100" t="n">
        <v>0.01</v>
      </c>
      <c r="N100" t="n">
        <v>0.009999999776482582</v>
      </c>
      <c r="O100" s="43" t="n">
        <v>46254.77372869213</v>
      </c>
      <c r="P100" t="inlineStr">
        <is>
          <t>3.0.0</t>
        </is>
      </c>
      <c r="Q100" t="inlineStr">
        <is>
          <t>1.8</t>
        </is>
      </c>
    </row>
    <row r="101">
      <c r="A101" t="inlineStr">
        <is>
          <t>Grizzly XL YO</t>
        </is>
      </c>
      <c r="B101" t="inlineStr">
        <is>
          <t>Master Model G10 Grizzly XL Relapse_TwoAge_B03</t>
        </is>
      </c>
      <c r="C101" t="inlineStr">
        <is>
          <t>JAGS_Female_2000</t>
        </is>
      </c>
      <c r="D101" t="n">
        <v>0.05</v>
      </c>
      <c r="E101" t="inlineStr">
        <is>
          <t>Variable</t>
        </is>
      </c>
      <c r="F101" t="inlineStr">
        <is>
          <t>Smoking initiation and cessation variable</t>
        </is>
      </c>
      <c r="G101" t="inlineStr">
        <is>
          <t>68 - 72</t>
        </is>
      </c>
      <c r="H101" t="inlineStr">
        <is>
          <t>DIFF_ALL</t>
        </is>
      </c>
      <c r="I101" s="10" t="n">
        <v>1297</v>
      </c>
      <c r="J101">
        <f>B101&amp;D101&amp;C101</f>
        <v/>
      </c>
      <c r="K101" s="10" t="n">
        <v>1100</v>
      </c>
      <c r="L101" s="10">
        <f>ROUND(IF(ISNUMBER(SEARCH("Relapse",J101)),_xlfn.XLOOKUP(J101,'Pivot and Calcs'!A:A,'Pivot and Calcs'!T:T),I101),0)</f>
        <v/>
      </c>
      <c r="M101" t="n">
        <v>0.01</v>
      </c>
      <c r="N101" t="n">
        <v>0.009999999776482582</v>
      </c>
      <c r="O101" s="43" t="n">
        <v>46254.77375975694</v>
      </c>
      <c r="P101" t="inlineStr">
        <is>
          <t>3.0.0</t>
        </is>
      </c>
      <c r="Q101" t="inlineStr">
        <is>
          <t>1.8</t>
        </is>
      </c>
    </row>
    <row r="102">
      <c r="A102" t="inlineStr">
        <is>
          <t>Grizzly XL YO</t>
        </is>
      </c>
      <c r="B102" t="inlineStr">
        <is>
          <t>Master Model G10 Grizzly XL Relapse_TwoAge_B03</t>
        </is>
      </c>
      <c r="C102" t="inlineStr">
        <is>
          <t>JAGS_Female_2000</t>
        </is>
      </c>
      <c r="D102" t="n">
        <v>0.1</v>
      </c>
      <c r="E102" t="inlineStr">
        <is>
          <t>Variable</t>
        </is>
      </c>
      <c r="F102" t="inlineStr">
        <is>
          <t>Smoking initiation and cessation variable</t>
        </is>
      </c>
      <c r="G102" t="inlineStr">
        <is>
          <t>68 - 72</t>
        </is>
      </c>
      <c r="H102" t="inlineStr">
        <is>
          <t>DIFF_ALL</t>
        </is>
      </c>
      <c r="I102" s="10" t="n">
        <v>1111</v>
      </c>
      <c r="J102">
        <f>B102&amp;D102&amp;C102</f>
        <v/>
      </c>
      <c r="K102" s="10" t="n">
        <v>914</v>
      </c>
      <c r="L102" s="10">
        <f>ROUND(IF(ISNUMBER(SEARCH("Relapse",J102)),_xlfn.XLOOKUP(J102,'Pivot and Calcs'!A:A,'Pivot and Calcs'!T:T),I102),0)</f>
        <v/>
      </c>
      <c r="M102" t="n">
        <v>0.01</v>
      </c>
      <c r="N102" t="n">
        <v>0.009999999776482582</v>
      </c>
      <c r="O102" s="43" t="n">
        <v>46254.77377680555</v>
      </c>
      <c r="P102" t="inlineStr">
        <is>
          <t>3.0.0</t>
        </is>
      </c>
      <c r="Q102" t="inlineStr">
        <is>
          <t>1.8</t>
        </is>
      </c>
    </row>
    <row r="103">
      <c r="A103" t="inlineStr">
        <is>
          <t>Grizzly XL YO</t>
        </is>
      </c>
      <c r="B103" t="inlineStr">
        <is>
          <t>Master Model G10 Grizzly XL Relapse_TwoAge_B04</t>
        </is>
      </c>
      <c r="C103" t="inlineStr">
        <is>
          <t>JAGS_Male_2000</t>
        </is>
      </c>
      <c r="D103" t="n">
        <v>0.05</v>
      </c>
      <c r="E103" t="inlineStr">
        <is>
          <t>Variable</t>
        </is>
      </c>
      <c r="F103" t="inlineStr">
        <is>
          <t>Smoking initiation and cessation variable</t>
        </is>
      </c>
      <c r="G103" t="inlineStr">
        <is>
          <t>68 - 72</t>
        </is>
      </c>
      <c r="H103" t="inlineStr">
        <is>
          <t>DIFF_ALL</t>
        </is>
      </c>
      <c r="I103" s="10" t="n">
        <v>1070</v>
      </c>
      <c r="J103">
        <f>B103&amp;D103&amp;C103</f>
        <v/>
      </c>
      <c r="K103" s="10" t="n">
        <v>858</v>
      </c>
      <c r="L103" s="10">
        <f>ROUND(IF(ISNUMBER(SEARCH("Relapse",J103)),_xlfn.XLOOKUP(J103,'Pivot and Calcs'!A:A,'Pivot and Calcs'!T:T),I103),0)</f>
        <v/>
      </c>
      <c r="M103" t="n">
        <v>0.01</v>
      </c>
      <c r="N103" t="n">
        <v>0.009999999776482582</v>
      </c>
      <c r="O103" s="43" t="n">
        <v>46254.77399582176</v>
      </c>
      <c r="P103" t="inlineStr">
        <is>
          <t>3.0.0</t>
        </is>
      </c>
      <c r="Q103" t="inlineStr">
        <is>
          <t>1.8</t>
        </is>
      </c>
    </row>
    <row r="104">
      <c r="A104" t="inlineStr">
        <is>
          <t>Grizzly XL YO</t>
        </is>
      </c>
      <c r="B104" t="inlineStr">
        <is>
          <t>Master Model G10 Grizzly XL Relapse_TwoAge_B04</t>
        </is>
      </c>
      <c r="C104" t="inlineStr">
        <is>
          <t>JAGS_Male_2000</t>
        </is>
      </c>
      <c r="D104" t="n">
        <v>0.1</v>
      </c>
      <c r="E104" t="inlineStr">
        <is>
          <t>Variable</t>
        </is>
      </c>
      <c r="F104" t="inlineStr">
        <is>
          <t>Smoking initiation and cessation variable</t>
        </is>
      </c>
      <c r="G104" t="inlineStr">
        <is>
          <t>68 - 72</t>
        </is>
      </c>
      <c r="H104" t="inlineStr">
        <is>
          <t>DIFF_ALL</t>
        </is>
      </c>
      <c r="I104" s="10" t="n">
        <v>979</v>
      </c>
      <c r="J104">
        <f>B104&amp;D104&amp;C104</f>
        <v/>
      </c>
      <c r="K104" s="10" t="n">
        <v>768</v>
      </c>
      <c r="L104" s="10">
        <f>ROUND(IF(ISNUMBER(SEARCH("Relapse",J104)),_xlfn.XLOOKUP(J104,'Pivot and Calcs'!A:A,'Pivot and Calcs'!T:T),I104),0)</f>
        <v/>
      </c>
      <c r="M104" t="n">
        <v>0.01</v>
      </c>
      <c r="N104" t="n">
        <v>0.009999999776482582</v>
      </c>
      <c r="O104" s="43" t="n">
        <v>46254.77399652778</v>
      </c>
      <c r="P104" t="inlineStr">
        <is>
          <t>3.0.0</t>
        </is>
      </c>
      <c r="Q104" t="inlineStr">
        <is>
          <t>1.8</t>
        </is>
      </c>
    </row>
    <row r="105">
      <c r="A105" t="inlineStr">
        <is>
          <t>Grizzly XL YO</t>
        </is>
      </c>
      <c r="B105" t="inlineStr">
        <is>
          <t>Master Model G10 Grizzly XL Relapse_TwoAge_B04</t>
        </is>
      </c>
      <c r="C105" t="inlineStr">
        <is>
          <t>JAGS_Female_2000</t>
        </is>
      </c>
      <c r="D105" t="n">
        <v>0.05</v>
      </c>
      <c r="E105" t="inlineStr">
        <is>
          <t>Variable</t>
        </is>
      </c>
      <c r="F105" t="inlineStr">
        <is>
          <t>Smoking initiation and cessation variable</t>
        </is>
      </c>
      <c r="G105" t="inlineStr">
        <is>
          <t>68 - 72</t>
        </is>
      </c>
      <c r="H105" t="inlineStr">
        <is>
          <t>DIFF_ALL</t>
        </is>
      </c>
      <c r="I105" s="10" t="n">
        <v>867</v>
      </c>
      <c r="J105">
        <f>B105&amp;D105&amp;C105</f>
        <v/>
      </c>
      <c r="K105" s="10" t="n">
        <v>696</v>
      </c>
      <c r="L105" s="10">
        <f>ROUND(IF(ISNUMBER(SEARCH("Relapse",J105)),_xlfn.XLOOKUP(J105,'Pivot and Calcs'!A:A,'Pivot and Calcs'!T:T),I105),0)</f>
        <v/>
      </c>
      <c r="M105" t="n">
        <v>0.01</v>
      </c>
      <c r="N105" t="n">
        <v>0.009999999776482582</v>
      </c>
      <c r="O105" s="43" t="n">
        <v>46254.77399699074</v>
      </c>
      <c r="P105" t="inlineStr">
        <is>
          <t>3.0.0</t>
        </is>
      </c>
      <c r="Q105" t="inlineStr">
        <is>
          <t>1.8</t>
        </is>
      </c>
    </row>
    <row r="106">
      <c r="A106" t="inlineStr">
        <is>
          <t>Grizzly XL YO</t>
        </is>
      </c>
      <c r="B106" t="inlineStr">
        <is>
          <t>Master Model G10 Grizzly XL Relapse_TwoAge_B04</t>
        </is>
      </c>
      <c r="C106" t="inlineStr">
        <is>
          <t>JAGS_Female_2000</t>
        </is>
      </c>
      <c r="D106" t="n">
        <v>0.1</v>
      </c>
      <c r="E106" t="inlineStr">
        <is>
          <t>Variable</t>
        </is>
      </c>
      <c r="F106" t="inlineStr">
        <is>
          <t>Smoking initiation and cessation variable</t>
        </is>
      </c>
      <c r="G106" t="inlineStr">
        <is>
          <t>68 - 72</t>
        </is>
      </c>
      <c r="H106" t="inlineStr">
        <is>
          <t>DIFF_ALL</t>
        </is>
      </c>
      <c r="I106" s="10" t="n">
        <v>796</v>
      </c>
      <c r="J106">
        <f>B106&amp;D106&amp;C106</f>
        <v/>
      </c>
      <c r="K106" s="10" t="n">
        <v>625</v>
      </c>
      <c r="L106" s="10">
        <f>ROUND(IF(ISNUMBER(SEARCH("Relapse",J106)),_xlfn.XLOOKUP(J106,'Pivot and Calcs'!A:A,'Pivot and Calcs'!T:T),I106),0)</f>
        <v/>
      </c>
      <c r="M106" t="n">
        <v>0.01</v>
      </c>
      <c r="N106" t="n">
        <v>0.009999999776482582</v>
      </c>
      <c r="O106" s="43" t="n">
        <v>46254.7739975</v>
      </c>
      <c r="P106" t="inlineStr">
        <is>
          <t>3.0.0</t>
        </is>
      </c>
      <c r="Q106" t="inlineStr">
        <is>
          <t>1.8</t>
        </is>
      </c>
    </row>
    <row r="107">
      <c r="A107" t="inlineStr">
        <is>
          <t>Grizzly XL YO</t>
        </is>
      </c>
      <c r="B107" t="inlineStr">
        <is>
          <t>Master Model G10 Grizzly XL Relapse_TwoAge_B05</t>
        </is>
      </c>
      <c r="C107" t="inlineStr">
        <is>
          <t>JAGS_Male_2000</t>
        </is>
      </c>
      <c r="D107" t="n">
        <v>0.05</v>
      </c>
      <c r="E107" t="inlineStr">
        <is>
          <t>Variable</t>
        </is>
      </c>
      <c r="F107" t="inlineStr">
        <is>
          <t>Smoking initiation and cessation variable</t>
        </is>
      </c>
      <c r="G107" t="inlineStr">
        <is>
          <t>68 - 72</t>
        </is>
      </c>
      <c r="H107" t="inlineStr">
        <is>
          <t>DIFF_ALL</t>
        </is>
      </c>
      <c r="I107" s="10" t="n">
        <v>729</v>
      </c>
      <c r="J107">
        <f>B107&amp;D107&amp;C107</f>
        <v/>
      </c>
      <c r="K107" s="10" t="n">
        <v>594</v>
      </c>
      <c r="L107" s="10">
        <f>ROUND(IF(ISNUMBER(SEARCH("Relapse",J107)),_xlfn.XLOOKUP(J107,'Pivot and Calcs'!A:A,'Pivot and Calcs'!T:T),I107),0)</f>
        <v/>
      </c>
      <c r="M107" t="n">
        <v>0.01</v>
      </c>
      <c r="N107" t="n">
        <v>0.009999999776482582</v>
      </c>
      <c r="O107" s="43" t="n">
        <v>46254.77414543981</v>
      </c>
      <c r="P107" t="inlineStr">
        <is>
          <t>3.0.0</t>
        </is>
      </c>
      <c r="Q107" t="inlineStr">
        <is>
          <t>1.8</t>
        </is>
      </c>
    </row>
    <row r="108">
      <c r="A108" t="inlineStr">
        <is>
          <t>Grizzly XL YO</t>
        </is>
      </c>
      <c r="B108" t="inlineStr">
        <is>
          <t>Master Model G10 Grizzly XL Relapse_TwoAge_B05</t>
        </is>
      </c>
      <c r="C108" t="inlineStr">
        <is>
          <t>JAGS_Male_2000</t>
        </is>
      </c>
      <c r="D108" t="n">
        <v>0.1</v>
      </c>
      <c r="E108" t="inlineStr">
        <is>
          <t>Variable</t>
        </is>
      </c>
      <c r="F108" t="inlineStr">
        <is>
          <t>Smoking initiation and cessation variable</t>
        </is>
      </c>
      <c r="G108" t="inlineStr">
        <is>
          <t>68 - 72</t>
        </is>
      </c>
      <c r="H108" t="inlineStr">
        <is>
          <t>DIFF_ALL</t>
        </is>
      </c>
      <c r="I108" s="10" t="n">
        <v>671</v>
      </c>
      <c r="J108">
        <f>B108&amp;D108&amp;C108</f>
        <v/>
      </c>
      <c r="K108" s="10" t="n">
        <v>536</v>
      </c>
      <c r="L108" s="10">
        <f>ROUND(IF(ISNUMBER(SEARCH("Relapse",J108)),_xlfn.XLOOKUP(J108,'Pivot and Calcs'!A:A,'Pivot and Calcs'!T:T),I108),0)</f>
        <v/>
      </c>
      <c r="M108" t="n">
        <v>0.01</v>
      </c>
      <c r="N108" t="n">
        <v>0.009999999776482582</v>
      </c>
      <c r="O108" s="43" t="n">
        <v>46254.7741503588</v>
      </c>
      <c r="P108" t="inlineStr">
        <is>
          <t>3.0.0</t>
        </is>
      </c>
      <c r="Q108" t="inlineStr">
        <is>
          <t>1.8</t>
        </is>
      </c>
    </row>
    <row r="109">
      <c r="A109" t="inlineStr">
        <is>
          <t>Grizzly XL YO</t>
        </is>
      </c>
      <c r="B109" t="inlineStr">
        <is>
          <t>Master Model G10 Grizzly XL Relapse_TwoAge_B05</t>
        </is>
      </c>
      <c r="C109" t="inlineStr">
        <is>
          <t>JAGS_Female_2000</t>
        </is>
      </c>
      <c r="D109" t="n">
        <v>0.05</v>
      </c>
      <c r="E109" t="inlineStr">
        <is>
          <t>Variable</t>
        </is>
      </c>
      <c r="F109" t="inlineStr">
        <is>
          <t>Smoking initiation and cessation variable</t>
        </is>
      </c>
      <c r="G109" t="inlineStr">
        <is>
          <t>68 - 72</t>
        </is>
      </c>
      <c r="H109" t="inlineStr">
        <is>
          <t>DIFF_ALL</t>
        </is>
      </c>
      <c r="I109" s="10" t="n">
        <v>606</v>
      </c>
      <c r="J109">
        <f>B109&amp;D109&amp;C109</f>
        <v/>
      </c>
      <c r="K109" s="10" t="n">
        <v>495</v>
      </c>
      <c r="L109" s="10">
        <f>ROUND(IF(ISNUMBER(SEARCH("Relapse",J109)),_xlfn.XLOOKUP(J109,'Pivot and Calcs'!A:A,'Pivot and Calcs'!T:T),I109),0)</f>
        <v/>
      </c>
      <c r="M109" t="n">
        <v>0.01</v>
      </c>
      <c r="N109" t="n">
        <v>0.009999999776482582</v>
      </c>
      <c r="O109" s="43" t="n">
        <v>46254.77415885417</v>
      </c>
      <c r="P109" t="inlineStr">
        <is>
          <t>3.0.0</t>
        </is>
      </c>
      <c r="Q109" t="inlineStr">
        <is>
          <t>1.8</t>
        </is>
      </c>
    </row>
    <row r="110">
      <c r="A110" t="inlineStr">
        <is>
          <t>Grizzly XL YO</t>
        </is>
      </c>
      <c r="B110" t="inlineStr">
        <is>
          <t>Master Model G10 Grizzly XL Relapse_TwoAge_B05</t>
        </is>
      </c>
      <c r="C110" t="inlineStr">
        <is>
          <t>JAGS_Female_2000</t>
        </is>
      </c>
      <c r="D110" t="n">
        <v>0.1</v>
      </c>
      <c r="E110" t="inlineStr">
        <is>
          <t>Variable</t>
        </is>
      </c>
      <c r="F110" t="inlineStr">
        <is>
          <t>Smoking initiation and cessation variable</t>
        </is>
      </c>
      <c r="G110" t="inlineStr">
        <is>
          <t>68 - 72</t>
        </is>
      </c>
      <c r="H110" t="inlineStr">
        <is>
          <t>DIFF_ALL</t>
        </is>
      </c>
      <c r="I110" s="10" t="n">
        <v>559</v>
      </c>
      <c r="J110">
        <f>B110&amp;D110&amp;C110</f>
        <v/>
      </c>
      <c r="K110" s="10" t="n">
        <v>447</v>
      </c>
      <c r="L110" s="10">
        <f>ROUND(IF(ISNUMBER(SEARCH("Relapse",J110)),_xlfn.XLOOKUP(J110,'Pivot and Calcs'!A:A,'Pivot and Calcs'!T:T),I110),0)</f>
        <v/>
      </c>
      <c r="M110" t="n">
        <v>0.01</v>
      </c>
      <c r="N110" t="n">
        <v>0.009999999776482582</v>
      </c>
      <c r="O110" s="43" t="n">
        <v>46254.77416025463</v>
      </c>
      <c r="P110" t="inlineStr">
        <is>
          <t>3.0.0</t>
        </is>
      </c>
      <c r="Q110" t="inlineStr">
        <is>
          <t>1.8</t>
        </is>
      </c>
    </row>
    <row r="111">
      <c r="A111" t="inlineStr">
        <is>
          <t>Grizzly XL YO</t>
        </is>
      </c>
      <c r="B111" t="inlineStr">
        <is>
          <t>Master Model G10 Grizzly XL Relapse_TwoAge_B06</t>
        </is>
      </c>
      <c r="C111" t="inlineStr">
        <is>
          <t>JAGS_Male_2000</t>
        </is>
      </c>
      <c r="D111" t="n">
        <v>0.05</v>
      </c>
      <c r="E111" t="inlineStr">
        <is>
          <t>Variable</t>
        </is>
      </c>
      <c r="F111" t="inlineStr">
        <is>
          <t>Smoking initiation and cessation variable</t>
        </is>
      </c>
      <c r="G111" t="inlineStr">
        <is>
          <t>68 - 72</t>
        </is>
      </c>
      <c r="H111" t="inlineStr">
        <is>
          <t>DIFF_ALL</t>
        </is>
      </c>
      <c r="I111" s="10" t="n">
        <v>492</v>
      </c>
      <c r="J111">
        <f>B111&amp;D111&amp;C111</f>
        <v/>
      </c>
      <c r="K111" s="10" t="n">
        <v>391</v>
      </c>
      <c r="L111" s="10">
        <f>ROUND(IF(ISNUMBER(SEARCH("Relapse",J111)),_xlfn.XLOOKUP(J111,'Pivot and Calcs'!A:A,'Pivot and Calcs'!T:T),I111),0)</f>
        <v/>
      </c>
      <c r="M111" t="n">
        <v>0.01</v>
      </c>
      <c r="N111" t="n">
        <v>0.009999999776482582</v>
      </c>
      <c r="O111" s="43" t="n">
        <v>46254.77463037037</v>
      </c>
      <c r="P111" t="inlineStr">
        <is>
          <t>3.0.0</t>
        </is>
      </c>
      <c r="Q111" t="inlineStr">
        <is>
          <t>1.8</t>
        </is>
      </c>
    </row>
    <row r="112">
      <c r="A112" t="inlineStr">
        <is>
          <t>Grizzly XL YO</t>
        </is>
      </c>
      <c r="B112" t="inlineStr">
        <is>
          <t>Master Model G10 Grizzly XL Relapse_TwoAge_B06</t>
        </is>
      </c>
      <c r="C112" t="inlineStr">
        <is>
          <t>JAGS_Male_2000</t>
        </is>
      </c>
      <c r="D112" t="n">
        <v>0.1</v>
      </c>
      <c r="E112" t="inlineStr">
        <is>
          <t>Variable</t>
        </is>
      </c>
      <c r="F112" t="inlineStr">
        <is>
          <t>Smoking initiation and cessation variable</t>
        </is>
      </c>
      <c r="G112" t="inlineStr">
        <is>
          <t>68 - 72</t>
        </is>
      </c>
      <c r="H112" t="inlineStr">
        <is>
          <t>DIFF_ALL</t>
        </is>
      </c>
      <c r="I112" s="10" t="n">
        <v>454</v>
      </c>
      <c r="J112">
        <f>B112&amp;D112&amp;C112</f>
        <v/>
      </c>
      <c r="K112" s="10" t="n">
        <v>353</v>
      </c>
      <c r="L112" s="10">
        <f>ROUND(IF(ISNUMBER(SEARCH("Relapse",J112)),_xlfn.XLOOKUP(J112,'Pivot and Calcs'!A:A,'Pivot and Calcs'!T:T),I112),0)</f>
        <v/>
      </c>
      <c r="M112" t="n">
        <v>0.01</v>
      </c>
      <c r="N112" t="n">
        <v>0.009999999776482582</v>
      </c>
      <c r="O112" s="43" t="n">
        <v>46254.77463086806</v>
      </c>
      <c r="P112" t="inlineStr">
        <is>
          <t>3.0.0</t>
        </is>
      </c>
      <c r="Q112" t="inlineStr">
        <is>
          <t>1.8</t>
        </is>
      </c>
    </row>
    <row r="113">
      <c r="A113" t="inlineStr">
        <is>
          <t>Grizzly XL YO</t>
        </is>
      </c>
      <c r="B113" t="inlineStr">
        <is>
          <t>Master Model G10 Grizzly XL Relapse_TwoAge_B06</t>
        </is>
      </c>
      <c r="C113" t="inlineStr">
        <is>
          <t>JAGS_Female_2000</t>
        </is>
      </c>
      <c r="D113" t="n">
        <v>0.05</v>
      </c>
      <c r="E113" t="inlineStr">
        <is>
          <t>Variable</t>
        </is>
      </c>
      <c r="F113" t="inlineStr">
        <is>
          <t>Smoking initiation and cessation variable</t>
        </is>
      </c>
      <c r="G113" t="inlineStr">
        <is>
          <t>68 - 72</t>
        </is>
      </c>
      <c r="H113" t="inlineStr">
        <is>
          <t>DIFF_ALL</t>
        </is>
      </c>
      <c r="I113" s="10" t="n">
        <v>420</v>
      </c>
      <c r="J113">
        <f>B113&amp;D113&amp;C113</f>
        <v/>
      </c>
      <c r="K113" s="10" t="n">
        <v>334</v>
      </c>
      <c r="L113" s="10">
        <f>ROUND(IF(ISNUMBER(SEARCH("Relapse",J113)),_xlfn.XLOOKUP(J113,'Pivot and Calcs'!A:A,'Pivot and Calcs'!T:T),I113),0)</f>
        <v/>
      </c>
      <c r="M113" t="n">
        <v>0.01</v>
      </c>
      <c r="N113" t="n">
        <v>0.009999999776482582</v>
      </c>
      <c r="O113" s="43" t="n">
        <v>46254.7746313426</v>
      </c>
      <c r="P113" t="inlineStr">
        <is>
          <t>3.0.0</t>
        </is>
      </c>
      <c r="Q113" t="inlineStr">
        <is>
          <t>1.8</t>
        </is>
      </c>
    </row>
    <row r="114">
      <c r="A114" t="inlineStr">
        <is>
          <t>Grizzly XL YO</t>
        </is>
      </c>
      <c r="B114" t="inlineStr">
        <is>
          <t>Master Model G10 Grizzly XL Relapse_TwoAge_B06</t>
        </is>
      </c>
      <c r="C114" t="inlineStr">
        <is>
          <t>JAGS_Female_2000</t>
        </is>
      </c>
      <c r="D114" t="n">
        <v>0.1</v>
      </c>
      <c r="E114" t="inlineStr">
        <is>
          <t>Variable</t>
        </is>
      </c>
      <c r="F114" t="inlineStr">
        <is>
          <t>Smoking initiation and cessation variable</t>
        </is>
      </c>
      <c r="G114" t="inlineStr">
        <is>
          <t>68 - 72</t>
        </is>
      </c>
      <c r="H114" t="inlineStr">
        <is>
          <t>DIFF_ALL</t>
        </is>
      </c>
      <c r="I114" s="10" t="n">
        <v>388</v>
      </c>
      <c r="J114">
        <f>B114&amp;D114&amp;C114</f>
        <v/>
      </c>
      <c r="K114" s="10" t="n">
        <v>301</v>
      </c>
      <c r="L114" s="10">
        <f>ROUND(IF(ISNUMBER(SEARCH("Relapse",J114)),_xlfn.XLOOKUP(J114,'Pivot and Calcs'!A:A,'Pivot and Calcs'!T:T),I114),0)</f>
        <v/>
      </c>
      <c r="M114" t="n">
        <v>0.01</v>
      </c>
      <c r="N114" t="n">
        <v>0.009999999776482582</v>
      </c>
      <c r="O114" s="43" t="n">
        <v>46254.77463186342</v>
      </c>
      <c r="P114" t="inlineStr">
        <is>
          <t>3.0.0</t>
        </is>
      </c>
      <c r="Q114" t="inlineStr">
        <is>
          <t>1.8</t>
        </is>
      </c>
    </row>
    <row r="115">
      <c r="A115" t="inlineStr">
        <is>
          <t>Grizzly XL YO</t>
        </is>
      </c>
      <c r="B115" t="inlineStr">
        <is>
          <t>Master Model G10 Grizzly XL Relapse_TwoAge_B07</t>
        </is>
      </c>
      <c r="C115" t="inlineStr">
        <is>
          <t>JAGS_Male_2000</t>
        </is>
      </c>
      <c r="D115" t="n">
        <v>0.05</v>
      </c>
      <c r="E115" t="inlineStr">
        <is>
          <t>Variable</t>
        </is>
      </c>
      <c r="F115" t="inlineStr">
        <is>
          <t>Smoking initiation and cessation variable</t>
        </is>
      </c>
      <c r="G115" t="inlineStr">
        <is>
          <t>68 - 72</t>
        </is>
      </c>
      <c r="H115" t="inlineStr">
        <is>
          <t>DIFF_ALL</t>
        </is>
      </c>
      <c r="I115" s="10" t="n">
        <v>245</v>
      </c>
      <c r="J115">
        <f>B115&amp;D115&amp;C115</f>
        <v/>
      </c>
      <c r="K115" s="10" t="n">
        <v>195</v>
      </c>
      <c r="L115" s="10">
        <f>ROUND(IF(ISNUMBER(SEARCH("Relapse",J115)),_xlfn.XLOOKUP(J115,'Pivot and Calcs'!A:A,'Pivot and Calcs'!T:T),I115),0)</f>
        <v/>
      </c>
      <c r="M115" t="n">
        <v>0.01</v>
      </c>
      <c r="N115" t="n">
        <v>0.009999999776482582</v>
      </c>
      <c r="O115" s="43" t="n">
        <v>46254.77481103009</v>
      </c>
      <c r="P115" t="inlineStr">
        <is>
          <t>3.0.0</t>
        </is>
      </c>
      <c r="Q115" t="inlineStr">
        <is>
          <t>1.8</t>
        </is>
      </c>
    </row>
    <row r="116">
      <c r="A116" t="inlineStr">
        <is>
          <t>Grizzly XL YO</t>
        </is>
      </c>
      <c r="B116" t="inlineStr">
        <is>
          <t>Master Model G10 Grizzly XL Relapse_TwoAge_B07</t>
        </is>
      </c>
      <c r="C116" t="inlineStr">
        <is>
          <t>JAGS_Male_2000</t>
        </is>
      </c>
      <c r="D116" t="n">
        <v>0.1</v>
      </c>
      <c r="E116" t="inlineStr">
        <is>
          <t>Variable</t>
        </is>
      </c>
      <c r="F116" t="inlineStr">
        <is>
          <t>Smoking initiation and cessation variable</t>
        </is>
      </c>
      <c r="G116" t="inlineStr">
        <is>
          <t>68 - 72</t>
        </is>
      </c>
      <c r="H116" t="inlineStr">
        <is>
          <t>DIFF_ALL</t>
        </is>
      </c>
      <c r="I116" s="10" t="n">
        <v>227</v>
      </c>
      <c r="J116">
        <f>B116&amp;D116&amp;C116</f>
        <v/>
      </c>
      <c r="K116" s="10" t="n">
        <v>176</v>
      </c>
      <c r="L116" s="10">
        <f>ROUND(IF(ISNUMBER(SEARCH("Relapse",J116)),_xlfn.XLOOKUP(J116,'Pivot and Calcs'!A:A,'Pivot and Calcs'!T:T),I116),0)</f>
        <v/>
      </c>
      <c r="M116" t="n">
        <v>0.01</v>
      </c>
      <c r="N116" t="n">
        <v>0.009999999776482582</v>
      </c>
      <c r="O116" s="43" t="n">
        <v>46254.77482989583</v>
      </c>
      <c r="P116" t="inlineStr">
        <is>
          <t>3.0.0</t>
        </is>
      </c>
      <c r="Q116" t="inlineStr">
        <is>
          <t>1.8</t>
        </is>
      </c>
    </row>
    <row r="117">
      <c r="A117" t="inlineStr">
        <is>
          <t>Grizzly XL YO</t>
        </is>
      </c>
      <c r="B117" t="inlineStr">
        <is>
          <t>Master Model G10 Grizzly XL Relapse_TwoAge_B07</t>
        </is>
      </c>
      <c r="C117" t="inlineStr">
        <is>
          <t>JAGS_Female_2000</t>
        </is>
      </c>
      <c r="D117" t="n">
        <v>0.05</v>
      </c>
      <c r="E117" t="inlineStr">
        <is>
          <t>Variable</t>
        </is>
      </c>
      <c r="F117" t="inlineStr">
        <is>
          <t>Smoking initiation and cessation variable</t>
        </is>
      </c>
      <c r="G117" t="inlineStr">
        <is>
          <t>68 - 72</t>
        </is>
      </c>
      <c r="H117" t="inlineStr">
        <is>
          <t>DIFF_ALL</t>
        </is>
      </c>
      <c r="I117" s="10" t="n">
        <v>214</v>
      </c>
      <c r="J117">
        <f>B117&amp;D117&amp;C117</f>
        <v/>
      </c>
      <c r="K117" s="10" t="n">
        <v>170</v>
      </c>
      <c r="L117" s="10">
        <f>ROUND(IF(ISNUMBER(SEARCH("Relapse",J117)),_xlfn.XLOOKUP(J117,'Pivot and Calcs'!A:A,'Pivot and Calcs'!T:T),I117),0)</f>
        <v/>
      </c>
      <c r="M117" t="n">
        <v>0.01</v>
      </c>
      <c r="N117" t="n">
        <v>0.009999999776482582</v>
      </c>
      <c r="O117" s="43" t="n">
        <v>46254.77483905092</v>
      </c>
      <c r="P117" t="inlineStr">
        <is>
          <t>3.0.0</t>
        </is>
      </c>
      <c r="Q117" t="inlineStr">
        <is>
          <t>1.8</t>
        </is>
      </c>
    </row>
    <row r="118">
      <c r="A118" t="inlineStr">
        <is>
          <t>Grizzly XL YO</t>
        </is>
      </c>
      <c r="B118" t="inlineStr">
        <is>
          <t>Master Model G10 Grizzly XL Relapse_TwoAge_B07</t>
        </is>
      </c>
      <c r="C118" t="inlineStr">
        <is>
          <t>JAGS_Female_2000</t>
        </is>
      </c>
      <c r="D118" t="n">
        <v>0.1</v>
      </c>
      <c r="E118" t="inlineStr">
        <is>
          <t>Variable</t>
        </is>
      </c>
      <c r="F118" t="inlineStr">
        <is>
          <t>Smoking initiation and cessation variable</t>
        </is>
      </c>
      <c r="G118" t="inlineStr">
        <is>
          <t>68 - 72</t>
        </is>
      </c>
      <c r="H118" t="inlineStr">
        <is>
          <t>DIFF_ALL</t>
        </is>
      </c>
      <c r="I118" s="10" t="n">
        <v>199</v>
      </c>
      <c r="J118">
        <f>B118&amp;D118&amp;C118</f>
        <v/>
      </c>
      <c r="K118" s="10" t="n">
        <v>155</v>
      </c>
      <c r="L118" s="10">
        <f>ROUND(IF(ISNUMBER(SEARCH("Relapse",J118)),_xlfn.XLOOKUP(J118,'Pivot and Calcs'!A:A,'Pivot and Calcs'!T:T),I118),0)</f>
        <v/>
      </c>
      <c r="M118" t="n">
        <v>0.01</v>
      </c>
      <c r="N118" t="n">
        <v>0.009999999776482582</v>
      </c>
      <c r="O118" s="43" t="n">
        <v>46254.77484990741</v>
      </c>
      <c r="P118" t="inlineStr">
        <is>
          <t>3.0.0</t>
        </is>
      </c>
      <c r="Q118" t="inlineStr">
        <is>
          <t>1.8</t>
        </is>
      </c>
    </row>
    <row r="119">
      <c r="A119" t="inlineStr">
        <is>
          <t>Grizzly XL YO</t>
        </is>
      </c>
      <c r="B119" t="inlineStr">
        <is>
          <t>Master Model G10 Grizzly XL Relapse_TwoAge_B08</t>
        </is>
      </c>
      <c r="C119" t="inlineStr">
        <is>
          <t>JAGS_Male_2000</t>
        </is>
      </c>
      <c r="D119" t="n">
        <v>0.05</v>
      </c>
      <c r="E119" t="inlineStr">
        <is>
          <t>Variable</t>
        </is>
      </c>
      <c r="F119" t="inlineStr">
        <is>
          <t>Smoking initiation and cessation variable</t>
        </is>
      </c>
      <c r="G119" t="inlineStr">
        <is>
          <t>68 - 72</t>
        </is>
      </c>
      <c r="H119" t="inlineStr">
        <is>
          <t>DIFF_ALL</t>
        </is>
      </c>
      <c r="I119" s="10" t="n">
        <v>81</v>
      </c>
      <c r="J119">
        <f>B119&amp;D119&amp;C119</f>
        <v/>
      </c>
      <c r="K119" s="10" t="n">
        <v>68</v>
      </c>
      <c r="L119" s="10">
        <f>ROUND(IF(ISNUMBER(SEARCH("Relapse",J119)),_xlfn.XLOOKUP(J119,'Pivot and Calcs'!A:A,'Pivot and Calcs'!T:T),I119),0)</f>
        <v/>
      </c>
      <c r="M119" t="n">
        <v>0.01</v>
      </c>
      <c r="N119" t="n">
        <v>0.009999999776482582</v>
      </c>
      <c r="O119" s="43" t="n">
        <v>46254.77501645833</v>
      </c>
      <c r="P119" t="inlineStr">
        <is>
          <t>3.0.0</t>
        </is>
      </c>
      <c r="Q119" t="inlineStr">
        <is>
          <t>1.8</t>
        </is>
      </c>
    </row>
    <row r="120">
      <c r="A120" t="inlineStr">
        <is>
          <t>Grizzly XL YO</t>
        </is>
      </c>
      <c r="B120" t="inlineStr">
        <is>
          <t>Master Model G10 Grizzly XL Relapse_TwoAge_B08</t>
        </is>
      </c>
      <c r="C120" t="inlineStr">
        <is>
          <t>JAGS_Male_2000</t>
        </is>
      </c>
      <c r="D120" t="n">
        <v>0.1</v>
      </c>
      <c r="E120" t="inlineStr">
        <is>
          <t>Variable</t>
        </is>
      </c>
      <c r="F120" t="inlineStr">
        <is>
          <t>Smoking initiation and cessation variable</t>
        </is>
      </c>
      <c r="G120" t="inlineStr">
        <is>
          <t>68 - 72</t>
        </is>
      </c>
      <c r="H120" t="inlineStr">
        <is>
          <t>DIFF_ALL</t>
        </is>
      </c>
      <c r="I120" s="10" t="n">
        <v>75</v>
      </c>
      <c r="J120">
        <f>B120&amp;D120&amp;C120</f>
        <v/>
      </c>
      <c r="K120" s="10" t="n">
        <v>62</v>
      </c>
      <c r="L120" s="10">
        <f>ROUND(IF(ISNUMBER(SEARCH("Relapse",J120)),_xlfn.XLOOKUP(J120,'Pivot and Calcs'!A:A,'Pivot and Calcs'!T:T),I120),0)</f>
        <v/>
      </c>
      <c r="M120" t="n">
        <v>0.01</v>
      </c>
      <c r="N120" t="n">
        <v>0.009999999776482582</v>
      </c>
      <c r="O120" s="43" t="n">
        <v>46254.775023125</v>
      </c>
      <c r="P120" t="inlineStr">
        <is>
          <t>3.0.0</t>
        </is>
      </c>
      <c r="Q120" t="inlineStr">
        <is>
          <t>1.8</t>
        </is>
      </c>
    </row>
    <row r="121">
      <c r="A121" t="inlineStr">
        <is>
          <t>Grizzly XL YO</t>
        </is>
      </c>
      <c r="B121" t="inlineStr">
        <is>
          <t>Master Model G10 Grizzly XL Relapse_TwoAge_B08</t>
        </is>
      </c>
      <c r="C121" t="inlineStr">
        <is>
          <t>JAGS_Female_2000</t>
        </is>
      </c>
      <c r="D121" t="n">
        <v>0.05</v>
      </c>
      <c r="E121" t="inlineStr">
        <is>
          <t>Variable</t>
        </is>
      </c>
      <c r="F121" t="inlineStr">
        <is>
          <t>Smoking initiation and cessation variable</t>
        </is>
      </c>
      <c r="G121" t="inlineStr">
        <is>
          <t>68 - 72</t>
        </is>
      </c>
      <c r="H121" t="inlineStr">
        <is>
          <t>DIFF_ALL</t>
        </is>
      </c>
      <c r="I121" s="10" t="n">
        <v>73</v>
      </c>
      <c r="J121">
        <f>B121&amp;D121&amp;C121</f>
        <v/>
      </c>
      <c r="K121" s="10" t="n">
        <v>61</v>
      </c>
      <c r="L121" s="10">
        <f>ROUND(IF(ISNUMBER(SEARCH("Relapse",J121)),_xlfn.XLOOKUP(J121,'Pivot and Calcs'!A:A,'Pivot and Calcs'!T:T),I121),0)</f>
        <v/>
      </c>
      <c r="M121" t="n">
        <v>0.01</v>
      </c>
      <c r="N121" t="n">
        <v>0.009999999776482582</v>
      </c>
      <c r="O121" s="43" t="n">
        <v>46254.77502809028</v>
      </c>
      <c r="P121" t="inlineStr">
        <is>
          <t>3.0.0</t>
        </is>
      </c>
      <c r="Q121" t="inlineStr">
        <is>
          <t>1.8</t>
        </is>
      </c>
    </row>
    <row r="122">
      <c r="A122" t="inlineStr">
        <is>
          <t>Grizzly XL YO</t>
        </is>
      </c>
      <c r="B122" t="inlineStr">
        <is>
          <t>Master Model G10 Grizzly XL Relapse_TwoAge_B08</t>
        </is>
      </c>
      <c r="C122" t="inlineStr">
        <is>
          <t>JAGS_Female_2000</t>
        </is>
      </c>
      <c r="D122" t="n">
        <v>0.1</v>
      </c>
      <c r="E122" t="inlineStr">
        <is>
          <t>Variable</t>
        </is>
      </c>
      <c r="F122" t="inlineStr">
        <is>
          <t>Smoking initiation and cessation variable</t>
        </is>
      </c>
      <c r="G122" t="inlineStr">
        <is>
          <t>68 - 72</t>
        </is>
      </c>
      <c r="H122" t="inlineStr">
        <is>
          <t>DIFF_ALL</t>
        </is>
      </c>
      <c r="I122" s="10" t="n">
        <v>68</v>
      </c>
      <c r="J122">
        <f>B122&amp;D122&amp;C122</f>
        <v/>
      </c>
      <c r="K122" s="10" t="n">
        <v>56</v>
      </c>
      <c r="L122" s="10">
        <f>ROUND(IF(ISNUMBER(SEARCH("Relapse",J122)),_xlfn.XLOOKUP(J122,'Pivot and Calcs'!A:A,'Pivot and Calcs'!T:T),I122),0)</f>
        <v/>
      </c>
      <c r="M122" t="n">
        <v>0.01</v>
      </c>
      <c r="N122" t="n">
        <v>0.009999999776482582</v>
      </c>
      <c r="O122" s="43" t="n">
        <v>46254.77502886574</v>
      </c>
      <c r="P122" t="inlineStr">
        <is>
          <t>3.0.0</t>
        </is>
      </c>
      <c r="Q122" t="inlineStr">
        <is>
          <t>1.8</t>
        </is>
      </c>
    </row>
    <row r="123">
      <c r="A123" t="inlineStr">
        <is>
          <t>Grizzly XL YO</t>
        </is>
      </c>
      <c r="B123" t="inlineStr">
        <is>
          <t>Master Model G10 Grizzly XL Relapse_TwoAge_B09</t>
        </is>
      </c>
      <c r="C123" t="inlineStr">
        <is>
          <t>JAGS_Male_2000</t>
        </is>
      </c>
      <c r="D123" t="n">
        <v>0.05</v>
      </c>
      <c r="E123" t="inlineStr">
        <is>
          <t>Variable</t>
        </is>
      </c>
      <c r="F123" t="inlineStr">
        <is>
          <t>Smoking initiation and cessation variable</t>
        </is>
      </c>
      <c r="G123" t="inlineStr">
        <is>
          <t>68 - 72</t>
        </is>
      </c>
      <c r="H123" t="inlineStr">
        <is>
          <t>DIFF_ALL</t>
        </is>
      </c>
      <c r="I123" s="10" t="n">
        <v>23</v>
      </c>
      <c r="J123">
        <f>B123&amp;D123&amp;C123</f>
        <v/>
      </c>
      <c r="K123" s="10" t="n">
        <v>15</v>
      </c>
      <c r="L123" s="10">
        <f>ROUND(IF(ISNUMBER(SEARCH("Relapse",J123)),_xlfn.XLOOKUP(J123,'Pivot and Calcs'!A:A,'Pivot and Calcs'!T:T),I123),0)</f>
        <v/>
      </c>
      <c r="M123" t="n">
        <v>0.01</v>
      </c>
      <c r="N123" t="n">
        <v>0.009999999776482582</v>
      </c>
      <c r="O123" s="43" t="n">
        <v>46254.77519803241</v>
      </c>
      <c r="P123" t="inlineStr">
        <is>
          <t>3.0.0</t>
        </is>
      </c>
      <c r="Q123" t="inlineStr">
        <is>
          <t>1.8</t>
        </is>
      </c>
    </row>
    <row r="124">
      <c r="A124" t="inlineStr">
        <is>
          <t>Grizzly XL YO</t>
        </is>
      </c>
      <c r="B124" t="inlineStr">
        <is>
          <t>Master Model G10 Grizzly XL Relapse_TwoAge_B09</t>
        </is>
      </c>
      <c r="C124" t="inlineStr">
        <is>
          <t>JAGS_Male_2000</t>
        </is>
      </c>
      <c r="D124" t="n">
        <v>0.1</v>
      </c>
      <c r="E124" t="inlineStr">
        <is>
          <t>Variable</t>
        </is>
      </c>
      <c r="F124" t="inlineStr">
        <is>
          <t>Smoking initiation and cessation variable</t>
        </is>
      </c>
      <c r="G124" t="inlineStr">
        <is>
          <t>68 - 72</t>
        </is>
      </c>
      <c r="H124" t="inlineStr">
        <is>
          <t>DIFF_ALL</t>
        </is>
      </c>
      <c r="I124" s="10" t="n">
        <v>21</v>
      </c>
      <c r="J124">
        <f>B124&amp;D124&amp;C124</f>
        <v/>
      </c>
      <c r="K124" s="10" t="n">
        <v>13</v>
      </c>
      <c r="L124" s="10">
        <f>ROUND(IF(ISNUMBER(SEARCH("Relapse",J124)),_xlfn.XLOOKUP(J124,'Pivot and Calcs'!A:A,'Pivot and Calcs'!T:T),I124),0)</f>
        <v/>
      </c>
      <c r="M124" t="n">
        <v>0.01</v>
      </c>
      <c r="N124" t="n">
        <v>0.009999999776482582</v>
      </c>
      <c r="O124" s="43" t="n">
        <v>46254.77519950231</v>
      </c>
      <c r="P124" t="inlineStr">
        <is>
          <t>3.0.0</t>
        </is>
      </c>
      <c r="Q124" t="inlineStr">
        <is>
          <t>1.8</t>
        </is>
      </c>
    </row>
    <row r="125">
      <c r="A125" t="inlineStr">
        <is>
          <t>Grizzly XL YO</t>
        </is>
      </c>
      <c r="B125" t="inlineStr">
        <is>
          <t>Master Model G10 Grizzly XL Relapse_TwoAge_B09</t>
        </is>
      </c>
      <c r="C125" t="inlineStr">
        <is>
          <t>JAGS_Female_2000</t>
        </is>
      </c>
      <c r="D125" t="n">
        <v>0.05</v>
      </c>
      <c r="E125" t="inlineStr">
        <is>
          <t>Variable</t>
        </is>
      </c>
      <c r="F125" t="inlineStr">
        <is>
          <t>Smoking initiation and cessation variable</t>
        </is>
      </c>
      <c r="G125" t="inlineStr">
        <is>
          <t>68 - 72</t>
        </is>
      </c>
      <c r="H125" t="inlineStr">
        <is>
          <t>DIFF_ALL</t>
        </is>
      </c>
      <c r="I125" s="10" t="n">
        <v>21</v>
      </c>
      <c r="J125">
        <f>B125&amp;D125&amp;C125</f>
        <v/>
      </c>
      <c r="K125" s="10" t="n">
        <v>15</v>
      </c>
      <c r="L125" s="10">
        <f>ROUND(IF(ISNUMBER(SEARCH("Relapse",J125)),_xlfn.XLOOKUP(J125,'Pivot and Calcs'!A:A,'Pivot and Calcs'!T:T),I125),0)</f>
        <v/>
      </c>
      <c r="M125" t="n">
        <v>0.01</v>
      </c>
      <c r="N125" t="n">
        <v>0.009999999776482582</v>
      </c>
      <c r="O125" s="43" t="n">
        <v>46254.7752011574</v>
      </c>
      <c r="P125" t="inlineStr">
        <is>
          <t>3.0.0</t>
        </is>
      </c>
      <c r="Q125" t="inlineStr">
        <is>
          <t>1.8</t>
        </is>
      </c>
    </row>
    <row r="126">
      <c r="A126" t="inlineStr">
        <is>
          <t>Grizzly XL YO</t>
        </is>
      </c>
      <c r="B126" t="inlineStr">
        <is>
          <t>Master Model G10 Grizzly XL Relapse_TwoAge_B09</t>
        </is>
      </c>
      <c r="C126" t="inlineStr">
        <is>
          <t>JAGS_Female_2000</t>
        </is>
      </c>
      <c r="D126" t="n">
        <v>0.1</v>
      </c>
      <c r="E126" t="inlineStr">
        <is>
          <t>Variable</t>
        </is>
      </c>
      <c r="F126" t="inlineStr">
        <is>
          <t>Smoking initiation and cessation variable</t>
        </is>
      </c>
      <c r="G126" t="inlineStr">
        <is>
          <t>68 - 72</t>
        </is>
      </c>
      <c r="H126" t="inlineStr">
        <is>
          <t>DIFF_ALL</t>
        </is>
      </c>
      <c r="I126" s="10" t="n">
        <v>20</v>
      </c>
      <c r="J126">
        <f>B126&amp;D126&amp;C126</f>
        <v/>
      </c>
      <c r="K126" s="10" t="n">
        <v>13</v>
      </c>
      <c r="L126" s="10">
        <f>ROUND(IF(ISNUMBER(SEARCH("Relapse",J126)),_xlfn.XLOOKUP(J126,'Pivot and Calcs'!A:A,'Pivot and Calcs'!T:T),I126),0)</f>
        <v/>
      </c>
      <c r="M126" t="n">
        <v>0.01</v>
      </c>
      <c r="N126" t="n">
        <v>0.009999999776482582</v>
      </c>
      <c r="O126" s="43" t="n">
        <v>46254.77520274305</v>
      </c>
      <c r="P126" t="inlineStr">
        <is>
          <t>3.0.0</t>
        </is>
      </c>
      <c r="Q126" t="inlineStr">
        <is>
          <t>1.8</t>
        </is>
      </c>
    </row>
    <row r="127">
      <c r="A127" t="inlineStr">
        <is>
          <t>Grizzly XL YO</t>
        </is>
      </c>
      <c r="B127" t="inlineStr">
        <is>
          <t>Master Model G10 Grizzly XL Relapse_TwoAge_B10</t>
        </is>
      </c>
      <c r="C127" t="inlineStr">
        <is>
          <t>JAGS_Male_2000</t>
        </is>
      </c>
      <c r="D127" t="n">
        <v>0.05</v>
      </c>
      <c r="E127" t="inlineStr">
        <is>
          <t>Variable</t>
        </is>
      </c>
      <c r="F127" t="inlineStr">
        <is>
          <t>Smoking initiation and cessation variable</t>
        </is>
      </c>
      <c r="G127" t="inlineStr">
        <is>
          <t>68 - 72</t>
        </is>
      </c>
      <c r="H127" t="inlineStr">
        <is>
          <t>DIFF_ALL</t>
        </is>
      </c>
      <c r="I127" s="10" t="n">
        <v>9</v>
      </c>
      <c r="J127">
        <f>B127&amp;D127&amp;C127</f>
        <v/>
      </c>
      <c r="K127" s="10" t="n">
        <v>6</v>
      </c>
      <c r="L127" s="10">
        <f>ROUND(IF(ISNUMBER(SEARCH("Relapse",J127)),_xlfn.XLOOKUP(J127,'Pivot and Calcs'!A:A,'Pivot and Calcs'!T:T),I127),0)</f>
        <v/>
      </c>
      <c r="M127" t="n">
        <v>0.01</v>
      </c>
      <c r="N127" t="n">
        <v>0.009999999776482582</v>
      </c>
      <c r="O127" s="43" t="n">
        <v>46254.77550685185</v>
      </c>
      <c r="P127" t="inlineStr">
        <is>
          <t>3.0.0</t>
        </is>
      </c>
      <c r="Q127" t="inlineStr">
        <is>
          <t>1.8</t>
        </is>
      </c>
    </row>
    <row r="128">
      <c r="A128" t="inlineStr">
        <is>
          <t>Grizzly XL YO</t>
        </is>
      </c>
      <c r="B128" t="inlineStr">
        <is>
          <t>Master Model G10 Grizzly XL Relapse_TwoAge_B10</t>
        </is>
      </c>
      <c r="C128" t="inlineStr">
        <is>
          <t>JAGS_Male_2000</t>
        </is>
      </c>
      <c r="D128" t="n">
        <v>0.1</v>
      </c>
      <c r="E128" t="inlineStr">
        <is>
          <t>Variable</t>
        </is>
      </c>
      <c r="F128" t="inlineStr">
        <is>
          <t>Smoking initiation and cessation variable</t>
        </is>
      </c>
      <c r="G128" t="inlineStr">
        <is>
          <t>68 - 72</t>
        </is>
      </c>
      <c r="H128" t="inlineStr">
        <is>
          <t>DIFF_ALL</t>
        </is>
      </c>
      <c r="I128" s="10" t="n">
        <v>8</v>
      </c>
      <c r="J128">
        <f>B128&amp;D128&amp;C128</f>
        <v/>
      </c>
      <c r="K128" s="10" t="n">
        <v>5</v>
      </c>
      <c r="L128" s="10">
        <f>ROUND(IF(ISNUMBER(SEARCH("Relapse",J128)),_xlfn.XLOOKUP(J128,'Pivot and Calcs'!A:A,'Pivot and Calcs'!T:T),I128),0)</f>
        <v/>
      </c>
      <c r="M128" t="n">
        <v>0.01</v>
      </c>
      <c r="N128" t="n">
        <v>0.009999999776482582</v>
      </c>
      <c r="O128" s="43" t="n">
        <v>46254.77550728009</v>
      </c>
      <c r="P128" t="inlineStr">
        <is>
          <t>3.0.0</t>
        </is>
      </c>
      <c r="Q128" t="inlineStr">
        <is>
          <t>1.8</t>
        </is>
      </c>
    </row>
    <row r="129">
      <c r="A129" t="inlineStr">
        <is>
          <t>Grizzly XL YO</t>
        </is>
      </c>
      <c r="B129" t="inlineStr">
        <is>
          <t>Master Model G10 Grizzly XL Relapse_TwoAge_B10</t>
        </is>
      </c>
      <c r="C129" t="inlineStr">
        <is>
          <t>JAGS_Female_2000</t>
        </is>
      </c>
      <c r="D129" t="n">
        <v>0.05</v>
      </c>
      <c r="E129" t="inlineStr">
        <is>
          <t>Variable</t>
        </is>
      </c>
      <c r="F129" t="inlineStr">
        <is>
          <t>Smoking initiation and cessation variable</t>
        </is>
      </c>
      <c r="G129" t="inlineStr">
        <is>
          <t>68 - 72</t>
        </is>
      </c>
      <c r="H129" t="inlineStr">
        <is>
          <t>DIFF_ALL</t>
        </is>
      </c>
      <c r="I129" s="10" t="n">
        <v>8</v>
      </c>
      <c r="J129">
        <f>B129&amp;D129&amp;C129</f>
        <v/>
      </c>
      <c r="K129" s="10" t="n">
        <v>5</v>
      </c>
      <c r="L129" s="10">
        <f>ROUND(IF(ISNUMBER(SEARCH("Relapse",J129)),_xlfn.XLOOKUP(J129,'Pivot and Calcs'!A:A,'Pivot and Calcs'!T:T),I129),0)</f>
        <v/>
      </c>
      <c r="M129" t="n">
        <v>0.01</v>
      </c>
      <c r="N129" t="n">
        <v>0.009999999776482582</v>
      </c>
      <c r="O129" s="43" t="n">
        <v>46254.77550770833</v>
      </c>
      <c r="P129" t="inlineStr">
        <is>
          <t>3.0.0</t>
        </is>
      </c>
      <c r="Q129" t="inlineStr">
        <is>
          <t>1.8</t>
        </is>
      </c>
    </row>
    <row r="130">
      <c r="A130" t="inlineStr">
        <is>
          <t>Grizzly XL YO</t>
        </is>
      </c>
      <c r="B130" t="inlineStr">
        <is>
          <t>Master Model G10 Grizzly XL Relapse_TwoAge_B10</t>
        </is>
      </c>
      <c r="C130" t="inlineStr">
        <is>
          <t>JAGS_Female_2000</t>
        </is>
      </c>
      <c r="D130" t="n">
        <v>0.1</v>
      </c>
      <c r="E130" t="inlineStr">
        <is>
          <t>Variable</t>
        </is>
      </c>
      <c r="F130" t="inlineStr">
        <is>
          <t>Smoking initiation and cessation variable</t>
        </is>
      </c>
      <c r="G130" t="inlineStr">
        <is>
          <t>68 - 72</t>
        </is>
      </c>
      <c r="H130" t="inlineStr">
        <is>
          <t>DIFF_ALL</t>
        </is>
      </c>
      <c r="I130" s="10" t="n">
        <v>8</v>
      </c>
      <c r="J130">
        <f>B130&amp;D130&amp;C130</f>
        <v/>
      </c>
      <c r="K130" s="10" t="n">
        <v>4</v>
      </c>
      <c r="L130" s="10">
        <f>ROUND(IF(ISNUMBER(SEARCH("Relapse",J130)),_xlfn.XLOOKUP(J130,'Pivot and Calcs'!A:A,'Pivot and Calcs'!T:T),I130),0)</f>
        <v/>
      </c>
      <c r="M130" t="n">
        <v>0.01</v>
      </c>
      <c r="N130" t="n">
        <v>0.009999999776482582</v>
      </c>
      <c r="O130" s="43" t="n">
        <v>46254.77550837963</v>
      </c>
      <c r="P130" t="inlineStr">
        <is>
          <t>3.0.0</t>
        </is>
      </c>
      <c r="Q130" t="inlineStr">
        <is>
          <t>1.8</t>
        </is>
      </c>
    </row>
    <row r="131">
      <c r="A131" t="inlineStr">
        <is>
          <t>Grizzly XL YO</t>
        </is>
      </c>
      <c r="B131" t="inlineStr">
        <is>
          <t>Master Model G10 Grizzly XL Relapse_TwoAge_B11</t>
        </is>
      </c>
      <c r="C131" t="inlineStr">
        <is>
          <t>JAGS_Male_2000</t>
        </is>
      </c>
      <c r="D131" t="n">
        <v>0.05</v>
      </c>
      <c r="E131" t="inlineStr">
        <is>
          <t>Variable</t>
        </is>
      </c>
      <c r="F131" t="inlineStr">
        <is>
          <t>Smoking initiation and cessation variable</t>
        </is>
      </c>
      <c r="G131" t="inlineStr">
        <is>
          <t>68 - 72</t>
        </is>
      </c>
      <c r="H131" t="inlineStr">
        <is>
          <t>DIFF_ALL</t>
        </is>
      </c>
      <c r="I131" s="10" t="n">
        <v>2</v>
      </c>
      <c r="J131">
        <f>B131&amp;D131&amp;C131</f>
        <v/>
      </c>
      <c r="K131" s="10" t="n">
        <v>1</v>
      </c>
      <c r="L131" s="10">
        <f>ROUND(IF(ISNUMBER(SEARCH("Relapse",J131)),_xlfn.XLOOKUP(J131,'Pivot and Calcs'!A:A,'Pivot and Calcs'!T:T),I131),0)</f>
        <v/>
      </c>
      <c r="M131" t="n">
        <v>0.01</v>
      </c>
      <c r="N131" t="n">
        <v>0.009999999776482582</v>
      </c>
      <c r="O131" s="43" t="n">
        <v>46254.77572813658</v>
      </c>
      <c r="P131" t="inlineStr">
        <is>
          <t>3.0.0</t>
        </is>
      </c>
      <c r="Q131" t="inlineStr">
        <is>
          <t>1.8</t>
        </is>
      </c>
    </row>
    <row r="132">
      <c r="A132" t="inlineStr">
        <is>
          <t>Grizzly XL YO</t>
        </is>
      </c>
      <c r="B132" t="inlineStr">
        <is>
          <t>Master Model G10 Grizzly XL Relapse_TwoAge_B11</t>
        </is>
      </c>
      <c r="C132" t="inlineStr">
        <is>
          <t>JAGS_Male_2000</t>
        </is>
      </c>
      <c r="D132" t="n">
        <v>0.1</v>
      </c>
      <c r="E132" t="inlineStr">
        <is>
          <t>Variable</t>
        </is>
      </c>
      <c r="F132" t="inlineStr">
        <is>
          <t>Smoking initiation and cessation variable</t>
        </is>
      </c>
      <c r="G132" t="inlineStr">
        <is>
          <t>68 - 72</t>
        </is>
      </c>
      <c r="H132" t="inlineStr">
        <is>
          <t>DIFF_ALL</t>
        </is>
      </c>
      <c r="I132" s="10" t="n">
        <v>2</v>
      </c>
      <c r="J132">
        <f>B132&amp;D132&amp;C132</f>
        <v/>
      </c>
      <c r="K132" s="10" t="n">
        <v>1</v>
      </c>
      <c r="L132" s="10">
        <f>ROUND(IF(ISNUMBER(SEARCH("Relapse",J132)),_xlfn.XLOOKUP(J132,'Pivot and Calcs'!A:A,'Pivot and Calcs'!T:T),I132),0)</f>
        <v/>
      </c>
      <c r="M132" t="n">
        <v>0.01</v>
      </c>
      <c r="N132" t="n">
        <v>0.009999999776482582</v>
      </c>
      <c r="O132" s="43" t="n">
        <v>46254.77574736111</v>
      </c>
      <c r="P132" t="inlineStr">
        <is>
          <t>3.0.0</t>
        </is>
      </c>
      <c r="Q132" t="inlineStr">
        <is>
          <t>1.8</t>
        </is>
      </c>
    </row>
    <row r="133">
      <c r="A133" t="inlineStr">
        <is>
          <t>Grizzly XL YO</t>
        </is>
      </c>
      <c r="B133" t="inlineStr">
        <is>
          <t>Master Model G10 Grizzly XL Relapse_TwoAge_B11</t>
        </is>
      </c>
      <c r="C133" t="inlineStr">
        <is>
          <t>JAGS_Female_2000</t>
        </is>
      </c>
      <c r="D133" t="n">
        <v>0.05</v>
      </c>
      <c r="E133" t="inlineStr">
        <is>
          <t>Variable</t>
        </is>
      </c>
      <c r="F133" t="inlineStr">
        <is>
          <t>Smoking initiation and cessation variable</t>
        </is>
      </c>
      <c r="G133" t="inlineStr">
        <is>
          <t>68 - 72</t>
        </is>
      </c>
      <c r="H133" t="inlineStr">
        <is>
          <t>DIFF_ALL</t>
        </is>
      </c>
      <c r="I133" s="10" t="n">
        <v>2</v>
      </c>
      <c r="J133">
        <f>B133&amp;D133&amp;C133</f>
        <v/>
      </c>
      <c r="K133" s="10" t="n">
        <v>2</v>
      </c>
      <c r="L133" s="10">
        <f>ROUND(IF(ISNUMBER(SEARCH("Relapse",J133)),_xlfn.XLOOKUP(J133,'Pivot and Calcs'!A:A,'Pivot and Calcs'!T:T),I133),0)</f>
        <v/>
      </c>
      <c r="M133" t="n">
        <v>0.01</v>
      </c>
      <c r="N133" t="n">
        <v>0.009999999776482582</v>
      </c>
      <c r="O133" s="43" t="n">
        <v>46254.77577553241</v>
      </c>
      <c r="P133" t="inlineStr">
        <is>
          <t>3.0.0</t>
        </is>
      </c>
      <c r="Q133" t="inlineStr">
        <is>
          <t>1.8</t>
        </is>
      </c>
    </row>
    <row r="134">
      <c r="A134" t="inlineStr">
        <is>
          <t>Grizzly XL YO</t>
        </is>
      </c>
      <c r="B134" t="inlineStr">
        <is>
          <t>Master Model G10 Grizzly XL Relapse_TwoAge_B11</t>
        </is>
      </c>
      <c r="C134" t="inlineStr">
        <is>
          <t>JAGS_Female_2000</t>
        </is>
      </c>
      <c r="D134" t="n">
        <v>0.1</v>
      </c>
      <c r="E134" t="inlineStr">
        <is>
          <t>Variable</t>
        </is>
      </c>
      <c r="F134" t="inlineStr">
        <is>
          <t>Smoking initiation and cessation variable</t>
        </is>
      </c>
      <c r="G134" t="inlineStr">
        <is>
          <t>68 - 72</t>
        </is>
      </c>
      <c r="H134" t="inlineStr">
        <is>
          <t>DIFF_ALL</t>
        </is>
      </c>
      <c r="I134" s="10" t="n">
        <v>2</v>
      </c>
      <c r="J134">
        <f>B134&amp;D134&amp;C134</f>
        <v/>
      </c>
      <c r="K134" s="10" t="n">
        <v>2</v>
      </c>
      <c r="L134" s="10">
        <f>ROUND(IF(ISNUMBER(SEARCH("Relapse",J134)),_xlfn.XLOOKUP(J134,'Pivot and Calcs'!A:A,'Pivot and Calcs'!T:T),I134),0)</f>
        <v/>
      </c>
      <c r="M134" t="n">
        <v>0.01</v>
      </c>
      <c r="N134" t="n">
        <v>0.009999999776482582</v>
      </c>
      <c r="O134" s="43" t="n">
        <v>46254.77578913194</v>
      </c>
      <c r="P134" t="inlineStr">
        <is>
          <t>3.0.0</t>
        </is>
      </c>
      <c r="Q134" t="inlineStr">
        <is>
          <t>1.8</t>
        </is>
      </c>
    </row>
    <row r="135">
      <c r="A135" t="inlineStr">
        <is>
          <t>Grizzly XL YO</t>
        </is>
      </c>
      <c r="B135" t="inlineStr">
        <is>
          <t>Master Model G25 Grizzly XL Relapse_TwoAge_B01</t>
        </is>
      </c>
      <c r="C135" t="inlineStr">
        <is>
          <t>JAGS_Male_2000</t>
        </is>
      </c>
      <c r="D135" t="n">
        <v>0.05</v>
      </c>
      <c r="E135" t="inlineStr">
        <is>
          <t>Variable</t>
        </is>
      </c>
      <c r="F135" t="inlineStr">
        <is>
          <t>Smoking initiation and cessation variable</t>
        </is>
      </c>
      <c r="G135" t="inlineStr">
        <is>
          <t>68 - 72</t>
        </is>
      </c>
      <c r="H135" t="inlineStr">
        <is>
          <t>DIFF_ALL</t>
        </is>
      </c>
      <c r="I135" s="10" t="n">
        <v>2300</v>
      </c>
      <c r="J135">
        <f>B135&amp;D135&amp;C135</f>
        <v/>
      </c>
      <c r="K135" s="10" t="n">
        <v>2053</v>
      </c>
      <c r="L135" s="10">
        <f>ROUND(IF(ISNUMBER(SEARCH("Relapse",J135)),_xlfn.XLOOKUP(J135,'Pivot and Calcs'!A:A,'Pivot and Calcs'!T:T),I135),0)</f>
        <v/>
      </c>
      <c r="M135" t="n">
        <v>0.01</v>
      </c>
      <c r="N135" t="n">
        <v>0.009999999776482582</v>
      </c>
      <c r="O135" s="43" t="n">
        <v>46254.78318943287</v>
      </c>
      <c r="P135" t="inlineStr">
        <is>
          <t>3.0.0</t>
        </is>
      </c>
      <c r="Q135" t="inlineStr">
        <is>
          <t>1.8</t>
        </is>
      </c>
    </row>
    <row r="136">
      <c r="A136" t="inlineStr">
        <is>
          <t>Grizzly XL YO</t>
        </is>
      </c>
      <c r="B136" t="inlineStr">
        <is>
          <t>Master Model G25 Grizzly XL Relapse_TwoAge_B01</t>
        </is>
      </c>
      <c r="C136" t="inlineStr">
        <is>
          <t>JAGS_Male_2000</t>
        </is>
      </c>
      <c r="D136" t="n">
        <v>0.1</v>
      </c>
      <c r="E136" t="inlineStr">
        <is>
          <t>Variable</t>
        </is>
      </c>
      <c r="F136" t="inlineStr">
        <is>
          <t>Smoking initiation and cessation variable</t>
        </is>
      </c>
      <c r="G136" t="inlineStr">
        <is>
          <t>68 - 72</t>
        </is>
      </c>
      <c r="H136" t="inlineStr">
        <is>
          <t>DIFF_ALL</t>
        </is>
      </c>
      <c r="I136" s="10" t="n">
        <v>1753</v>
      </c>
      <c r="J136">
        <f>B136&amp;D136&amp;C136</f>
        <v/>
      </c>
      <c r="K136" s="10" t="n">
        <v>1505</v>
      </c>
      <c r="L136" s="10">
        <f>ROUND(IF(ISNUMBER(SEARCH("Relapse",J136)),_xlfn.XLOOKUP(J136,'Pivot and Calcs'!A:A,'Pivot and Calcs'!T:T),I136),0)</f>
        <v/>
      </c>
      <c r="M136" t="n">
        <v>0.01</v>
      </c>
      <c r="N136" t="n">
        <v>0.009999999776482582</v>
      </c>
      <c r="O136" s="43" t="n">
        <v>46254.78318988426</v>
      </c>
      <c r="P136" t="inlineStr">
        <is>
          <t>3.0.0</t>
        </is>
      </c>
      <c r="Q136" t="inlineStr">
        <is>
          <t>1.8</t>
        </is>
      </c>
    </row>
    <row r="137">
      <c r="A137" t="inlineStr">
        <is>
          <t>Grizzly XL YO</t>
        </is>
      </c>
      <c r="B137" t="inlineStr">
        <is>
          <t>Master Model G25 Grizzly XL Relapse_TwoAge_B01</t>
        </is>
      </c>
      <c r="C137" t="inlineStr">
        <is>
          <t>JAGS_Female_2000</t>
        </is>
      </c>
      <c r="D137" t="n">
        <v>0.05</v>
      </c>
      <c r="E137" t="inlineStr">
        <is>
          <t>Variable</t>
        </is>
      </c>
      <c r="F137" t="inlineStr">
        <is>
          <t>Smoking initiation and cessation variable</t>
        </is>
      </c>
      <c r="G137" t="inlineStr">
        <is>
          <t>68 - 72</t>
        </is>
      </c>
      <c r="H137" t="inlineStr">
        <is>
          <t>DIFF_ALL</t>
        </is>
      </c>
      <c r="I137" s="10" t="n">
        <v>1948</v>
      </c>
      <c r="J137">
        <f>B137&amp;D137&amp;C137</f>
        <v/>
      </c>
      <c r="K137" s="10" t="n">
        <v>1751</v>
      </c>
      <c r="L137" s="10">
        <f>ROUND(IF(ISNUMBER(SEARCH("Relapse",J137)),_xlfn.XLOOKUP(J137,'Pivot and Calcs'!A:A,'Pivot and Calcs'!T:T),I137),0)</f>
        <v/>
      </c>
      <c r="M137" t="n">
        <v>0.01</v>
      </c>
      <c r="N137" t="n">
        <v>0.009999999776482582</v>
      </c>
      <c r="O137" s="43" t="n">
        <v>46254.7831903125</v>
      </c>
      <c r="P137" t="inlineStr">
        <is>
          <t>3.0.0</t>
        </is>
      </c>
      <c r="Q137" t="inlineStr">
        <is>
          <t>1.8</t>
        </is>
      </c>
    </row>
    <row r="138">
      <c r="A138" t="inlineStr">
        <is>
          <t>Grizzly XL YO</t>
        </is>
      </c>
      <c r="B138" t="inlineStr">
        <is>
          <t>Master Model G25 Grizzly XL Relapse_TwoAge_B01</t>
        </is>
      </c>
      <c r="C138" t="inlineStr">
        <is>
          <t>JAGS_Female_2000</t>
        </is>
      </c>
      <c r="D138" t="n">
        <v>0.1</v>
      </c>
      <c r="E138" t="inlineStr">
        <is>
          <t>Variable</t>
        </is>
      </c>
      <c r="F138" t="inlineStr">
        <is>
          <t>Smoking initiation and cessation variable</t>
        </is>
      </c>
      <c r="G138" t="inlineStr">
        <is>
          <t>68 - 72</t>
        </is>
      </c>
      <c r="H138" t="inlineStr">
        <is>
          <t>DIFF_ALL</t>
        </is>
      </c>
      <c r="I138" s="10" t="n">
        <v>1505</v>
      </c>
      <c r="J138">
        <f>B138&amp;D138&amp;C138</f>
        <v/>
      </c>
      <c r="K138" s="10" t="n">
        <v>1310</v>
      </c>
      <c r="L138" s="10">
        <f>ROUND(IF(ISNUMBER(SEARCH("Relapse",J138)),_xlfn.XLOOKUP(J138,'Pivot and Calcs'!A:A,'Pivot and Calcs'!T:T),I138),0)</f>
        <v/>
      </c>
      <c r="M138" t="n">
        <v>0.01</v>
      </c>
      <c r="N138" t="n">
        <v>0.009999999776482582</v>
      </c>
      <c r="O138" s="43" t="n">
        <v>46254.78319077547</v>
      </c>
      <c r="P138" t="inlineStr">
        <is>
          <t>3.0.0</t>
        </is>
      </c>
      <c r="Q138" t="inlineStr">
        <is>
          <t>1.8</t>
        </is>
      </c>
    </row>
    <row r="139">
      <c r="A139" t="inlineStr">
        <is>
          <t>Grizzly XL YO</t>
        </is>
      </c>
      <c r="B139" t="inlineStr">
        <is>
          <t>Master Model G25 Grizzly XL Relapse_TwoAge_B02</t>
        </is>
      </c>
      <c r="C139" t="inlineStr">
        <is>
          <t>JAGS_Male_2000</t>
        </is>
      </c>
      <c r="D139" t="n">
        <v>0.05</v>
      </c>
      <c r="E139" t="inlineStr">
        <is>
          <t>Variable</t>
        </is>
      </c>
      <c r="F139" t="inlineStr">
        <is>
          <t>Smoking initiation and cessation variable</t>
        </is>
      </c>
      <c r="G139" t="inlineStr">
        <is>
          <t>68 - 72</t>
        </is>
      </c>
      <c r="H139" t="inlineStr">
        <is>
          <t>DIFF_ALL</t>
        </is>
      </c>
      <c r="I139" s="10" t="n">
        <v>2120</v>
      </c>
      <c r="J139">
        <f>B139&amp;D139&amp;C139</f>
        <v/>
      </c>
      <c r="K139" s="10" t="n">
        <v>1873</v>
      </c>
      <c r="L139" s="10">
        <f>ROUND(IF(ISNUMBER(SEARCH("Relapse",J139)),_xlfn.XLOOKUP(J139,'Pivot and Calcs'!A:A,'Pivot and Calcs'!T:T),I139),0)</f>
        <v/>
      </c>
      <c r="M139" t="n">
        <v>0.01</v>
      </c>
      <c r="N139" t="n">
        <v>0.009999999776482582</v>
      </c>
      <c r="O139" s="43" t="n">
        <v>46254.78519966435</v>
      </c>
      <c r="P139" t="inlineStr">
        <is>
          <t>3.0.0</t>
        </is>
      </c>
      <c r="Q139" t="inlineStr">
        <is>
          <t>1.8</t>
        </is>
      </c>
    </row>
    <row r="140">
      <c r="A140" t="inlineStr">
        <is>
          <t>Grizzly XL YO</t>
        </is>
      </c>
      <c r="B140" t="inlineStr">
        <is>
          <t>Master Model G25 Grizzly XL Relapse_TwoAge_B02</t>
        </is>
      </c>
      <c r="C140" t="inlineStr">
        <is>
          <t>JAGS_Male_2000</t>
        </is>
      </c>
      <c r="D140" t="n">
        <v>0.1</v>
      </c>
      <c r="E140" t="inlineStr">
        <is>
          <t>Variable</t>
        </is>
      </c>
      <c r="F140" t="inlineStr">
        <is>
          <t>Smoking initiation and cessation variable</t>
        </is>
      </c>
      <c r="G140" t="inlineStr">
        <is>
          <t>68 - 72</t>
        </is>
      </c>
      <c r="H140" t="inlineStr">
        <is>
          <t>DIFF_ALL</t>
        </is>
      </c>
      <c r="I140" s="10" t="n">
        <v>1698</v>
      </c>
      <c r="J140">
        <f>B140&amp;D140&amp;C140</f>
        <v/>
      </c>
      <c r="K140" s="10" t="n">
        <v>1451</v>
      </c>
      <c r="L140" s="10">
        <f>ROUND(IF(ISNUMBER(SEARCH("Relapse",J140)),_xlfn.XLOOKUP(J140,'Pivot and Calcs'!A:A,'Pivot and Calcs'!T:T),I140),0)</f>
        <v/>
      </c>
      <c r="M140" t="n">
        <v>0.01</v>
      </c>
      <c r="N140" t="n">
        <v>0.009999999776482582</v>
      </c>
      <c r="O140" s="43" t="n">
        <v>46254.78520011574</v>
      </c>
      <c r="P140" t="inlineStr">
        <is>
          <t>3.0.0</t>
        </is>
      </c>
      <c r="Q140" t="inlineStr">
        <is>
          <t>1.8</t>
        </is>
      </c>
    </row>
    <row r="141">
      <c r="A141" t="inlineStr">
        <is>
          <t>Grizzly XL YO</t>
        </is>
      </c>
      <c r="B141" t="inlineStr">
        <is>
          <t>Master Model G25 Grizzly XL Relapse_TwoAge_B02</t>
        </is>
      </c>
      <c r="C141" t="inlineStr">
        <is>
          <t>JAGS_Female_2000</t>
        </is>
      </c>
      <c r="D141" t="n">
        <v>0.05</v>
      </c>
      <c r="E141" t="inlineStr">
        <is>
          <t>Variable</t>
        </is>
      </c>
      <c r="F141" t="inlineStr">
        <is>
          <t>Smoking initiation and cessation variable</t>
        </is>
      </c>
      <c r="G141" t="inlineStr">
        <is>
          <t>68 - 72</t>
        </is>
      </c>
      <c r="H141" t="inlineStr">
        <is>
          <t>DIFF_ALL</t>
        </is>
      </c>
      <c r="I141" s="10" t="n">
        <v>1764</v>
      </c>
      <c r="J141">
        <f>B141&amp;D141&amp;C141</f>
        <v/>
      </c>
      <c r="K141" s="10" t="n">
        <v>1568</v>
      </c>
      <c r="L141" s="10">
        <f>ROUND(IF(ISNUMBER(SEARCH("Relapse",J141)),_xlfn.XLOOKUP(J141,'Pivot and Calcs'!A:A,'Pivot and Calcs'!T:T),I141),0)</f>
        <v/>
      </c>
      <c r="M141" t="n">
        <v>0.01</v>
      </c>
      <c r="N141" t="n">
        <v>0.009999999776482582</v>
      </c>
      <c r="O141" s="43" t="n">
        <v>46254.78520054398</v>
      </c>
      <c r="P141" t="inlineStr">
        <is>
          <t>3.0.0</t>
        </is>
      </c>
      <c r="Q141" t="inlineStr">
        <is>
          <t>1.8</t>
        </is>
      </c>
    </row>
    <row r="142">
      <c r="A142" t="inlineStr">
        <is>
          <t>Grizzly XL YO</t>
        </is>
      </c>
      <c r="B142" t="inlineStr">
        <is>
          <t>Master Model G25 Grizzly XL Relapse_TwoAge_B02</t>
        </is>
      </c>
      <c r="C142" t="inlineStr">
        <is>
          <t>JAGS_Female_2000</t>
        </is>
      </c>
      <c r="D142" t="n">
        <v>0.1</v>
      </c>
      <c r="E142" t="inlineStr">
        <is>
          <t>Variable</t>
        </is>
      </c>
      <c r="F142" t="inlineStr">
        <is>
          <t>Smoking initiation and cessation variable</t>
        </is>
      </c>
      <c r="G142" t="inlineStr">
        <is>
          <t>68 - 72</t>
        </is>
      </c>
      <c r="H142" t="inlineStr">
        <is>
          <t>DIFF_ALL</t>
        </is>
      </c>
      <c r="I142" s="10" t="n">
        <v>1425</v>
      </c>
      <c r="J142">
        <f>B142&amp;D142&amp;C142</f>
        <v/>
      </c>
      <c r="K142" s="10" t="n">
        <v>1229</v>
      </c>
      <c r="L142" s="10">
        <f>ROUND(IF(ISNUMBER(SEARCH("Relapse",J142)),_xlfn.XLOOKUP(J142,'Pivot and Calcs'!A:A,'Pivot and Calcs'!T:T),I142),0)</f>
        <v/>
      </c>
      <c r="M142" t="n">
        <v>0.01</v>
      </c>
      <c r="N142" t="n">
        <v>0.009999999776482582</v>
      </c>
      <c r="O142" s="43" t="n">
        <v>46254.7852009838</v>
      </c>
      <c r="P142" t="inlineStr">
        <is>
          <t>3.0.0</t>
        </is>
      </c>
      <c r="Q142" t="inlineStr">
        <is>
          <t>1.8</t>
        </is>
      </c>
    </row>
    <row r="143">
      <c r="A143" t="inlineStr">
        <is>
          <t>Grizzly XL YO</t>
        </is>
      </c>
      <c r="B143" t="inlineStr">
        <is>
          <t>Master Model G25 Grizzly XL Relapse_TwoAge_B03</t>
        </is>
      </c>
      <c r="C143" t="inlineStr">
        <is>
          <t>JAGS_Male_2000</t>
        </is>
      </c>
      <c r="D143" t="n">
        <v>0.05</v>
      </c>
      <c r="E143" t="inlineStr">
        <is>
          <t>Variable</t>
        </is>
      </c>
      <c r="F143" t="inlineStr">
        <is>
          <t>Smoking initiation and cessation variable</t>
        </is>
      </c>
      <c r="G143" t="inlineStr">
        <is>
          <t>68 - 72</t>
        </is>
      </c>
      <c r="H143" t="inlineStr">
        <is>
          <t>DIFF_ALL</t>
        </is>
      </c>
      <c r="I143" s="10" t="n">
        <v>1501</v>
      </c>
      <c r="J143">
        <f>B143&amp;D143&amp;C143</f>
        <v/>
      </c>
      <c r="K143" s="10" t="n">
        <v>1253</v>
      </c>
      <c r="L143" s="10">
        <f>ROUND(IF(ISNUMBER(SEARCH("Relapse",J143)),_xlfn.XLOOKUP(J143,'Pivot and Calcs'!A:A,'Pivot and Calcs'!T:T),I143),0)</f>
        <v/>
      </c>
      <c r="M143" t="n">
        <v>0.01</v>
      </c>
      <c r="N143" t="n">
        <v>0.009999999776482582</v>
      </c>
      <c r="O143" s="43" t="n">
        <v>46254.78664546296</v>
      </c>
      <c r="P143" t="inlineStr">
        <is>
          <t>3.0.0</t>
        </is>
      </c>
      <c r="Q143" t="inlineStr">
        <is>
          <t>1.8</t>
        </is>
      </c>
    </row>
    <row r="144">
      <c r="A144" t="inlineStr">
        <is>
          <t>Grizzly XL YO</t>
        </is>
      </c>
      <c r="B144" t="inlineStr">
        <is>
          <t>Master Model G25 Grizzly XL Relapse_TwoAge_B03</t>
        </is>
      </c>
      <c r="C144" t="inlineStr">
        <is>
          <t>JAGS_Male_2000</t>
        </is>
      </c>
      <c r="D144" t="n">
        <v>0.1</v>
      </c>
      <c r="E144" t="inlineStr">
        <is>
          <t>Variable</t>
        </is>
      </c>
      <c r="F144" t="inlineStr">
        <is>
          <t>Smoking initiation and cessation variable</t>
        </is>
      </c>
      <c r="G144" t="inlineStr">
        <is>
          <t>68 - 72</t>
        </is>
      </c>
      <c r="H144" t="inlineStr">
        <is>
          <t>DIFF_ALL</t>
        </is>
      </c>
      <c r="I144" s="10" t="n">
        <v>1279</v>
      </c>
      <c r="J144">
        <f>B144&amp;D144&amp;C144</f>
        <v/>
      </c>
      <c r="K144" s="10" t="n">
        <v>1033</v>
      </c>
      <c r="L144" s="10">
        <f>ROUND(IF(ISNUMBER(SEARCH("Relapse",J144)),_xlfn.XLOOKUP(J144,'Pivot and Calcs'!A:A,'Pivot and Calcs'!T:T),I144),0)</f>
        <v/>
      </c>
      <c r="M144" t="n">
        <v>0.01</v>
      </c>
      <c r="N144" t="n">
        <v>0.009999999776482582</v>
      </c>
      <c r="O144" s="43" t="n">
        <v>46254.78664592592</v>
      </c>
      <c r="P144" t="inlineStr">
        <is>
          <t>3.0.0</t>
        </is>
      </c>
      <c r="Q144" t="inlineStr">
        <is>
          <t>1.8</t>
        </is>
      </c>
    </row>
    <row r="145">
      <c r="A145" t="inlineStr">
        <is>
          <t>Grizzly XL YO</t>
        </is>
      </c>
      <c r="B145" t="inlineStr">
        <is>
          <t>Master Model G25 Grizzly XL Relapse_TwoAge_B03</t>
        </is>
      </c>
      <c r="C145" t="inlineStr">
        <is>
          <t>JAGS_Female_2000</t>
        </is>
      </c>
      <c r="D145" t="n">
        <v>0.05</v>
      </c>
      <c r="E145" t="inlineStr">
        <is>
          <t>Variable</t>
        </is>
      </c>
      <c r="F145" t="inlineStr">
        <is>
          <t>Smoking initiation and cessation variable</t>
        </is>
      </c>
      <c r="G145" t="inlineStr">
        <is>
          <t>68 - 72</t>
        </is>
      </c>
      <c r="H145" t="inlineStr">
        <is>
          <t>DIFF_ALL</t>
        </is>
      </c>
      <c r="I145" s="10" t="n">
        <v>1199</v>
      </c>
      <c r="J145">
        <f>B145&amp;D145&amp;C145</f>
        <v/>
      </c>
      <c r="K145" s="10" t="n">
        <v>1002</v>
      </c>
      <c r="L145" s="10">
        <f>ROUND(IF(ISNUMBER(SEARCH("Relapse",J145)),_xlfn.XLOOKUP(J145,'Pivot and Calcs'!A:A,'Pivot and Calcs'!T:T),I145),0)</f>
        <v/>
      </c>
      <c r="M145" t="n">
        <v>0.01</v>
      </c>
      <c r="N145" t="n">
        <v>0.009999999776482582</v>
      </c>
      <c r="O145" s="43" t="n">
        <v>46254.78664635416</v>
      </c>
      <c r="P145" t="inlineStr">
        <is>
          <t>3.0.0</t>
        </is>
      </c>
      <c r="Q145" t="inlineStr">
        <is>
          <t>1.8</t>
        </is>
      </c>
    </row>
    <row r="146">
      <c r="A146" t="inlineStr">
        <is>
          <t>Grizzly XL YO</t>
        </is>
      </c>
      <c r="B146" t="inlineStr">
        <is>
          <t>Master Model G25 Grizzly XL Relapse_TwoAge_B03</t>
        </is>
      </c>
      <c r="C146" t="inlineStr">
        <is>
          <t>JAGS_Female_2000</t>
        </is>
      </c>
      <c r="D146" t="n">
        <v>0.1</v>
      </c>
      <c r="E146" t="inlineStr">
        <is>
          <t>Variable</t>
        </is>
      </c>
      <c r="F146" t="inlineStr">
        <is>
          <t>Smoking initiation and cessation variable</t>
        </is>
      </c>
      <c r="G146" t="inlineStr">
        <is>
          <t>68 - 72</t>
        </is>
      </c>
      <c r="H146" t="inlineStr">
        <is>
          <t>DIFF_ALL</t>
        </is>
      </c>
      <c r="I146" s="10" t="n">
        <v>1024</v>
      </c>
      <c r="J146">
        <f>B146&amp;D146&amp;C146</f>
        <v/>
      </c>
      <c r="K146" s="10" t="n">
        <v>829</v>
      </c>
      <c r="L146" s="10">
        <f>ROUND(IF(ISNUMBER(SEARCH("Relapse",J146)),_xlfn.XLOOKUP(J146,'Pivot and Calcs'!A:A,'Pivot and Calcs'!T:T),I146),0)</f>
        <v/>
      </c>
      <c r="M146" t="n">
        <v>0.01</v>
      </c>
      <c r="N146" t="n">
        <v>0.009999999776482582</v>
      </c>
      <c r="O146" s="43" t="n">
        <v>46254.786646875</v>
      </c>
      <c r="P146" t="inlineStr">
        <is>
          <t>3.0.0</t>
        </is>
      </c>
      <c r="Q146" t="inlineStr">
        <is>
          <t>1.8</t>
        </is>
      </c>
    </row>
    <row r="147">
      <c r="A147" t="inlineStr">
        <is>
          <t>Grizzly XL YO</t>
        </is>
      </c>
      <c r="B147" t="inlineStr">
        <is>
          <t>Master Model G25 Grizzly XL Relapse_TwoAge_B04</t>
        </is>
      </c>
      <c r="C147" t="inlineStr">
        <is>
          <t>JAGS_Male_2000</t>
        </is>
      </c>
      <c r="D147" t="n">
        <v>0.05</v>
      </c>
      <c r="E147" t="inlineStr">
        <is>
          <t>Variable</t>
        </is>
      </c>
      <c r="F147" t="inlineStr">
        <is>
          <t>Smoking initiation and cessation variable</t>
        </is>
      </c>
      <c r="G147" t="inlineStr">
        <is>
          <t>68 - 72</t>
        </is>
      </c>
      <c r="H147" t="inlineStr">
        <is>
          <t>DIFF_ALL</t>
        </is>
      </c>
      <c r="I147" s="10" t="n">
        <v>1070</v>
      </c>
      <c r="J147">
        <f>B147&amp;D147&amp;C147</f>
        <v/>
      </c>
      <c r="K147" s="10" t="n">
        <v>858</v>
      </c>
      <c r="L147" s="10">
        <f>ROUND(IF(ISNUMBER(SEARCH("Relapse",J147)),_xlfn.XLOOKUP(J147,'Pivot and Calcs'!A:A,'Pivot and Calcs'!T:T),I147),0)</f>
        <v/>
      </c>
      <c r="M147" t="n">
        <v>0.01</v>
      </c>
      <c r="N147" t="n">
        <v>0.009999999776482582</v>
      </c>
      <c r="O147" s="43" t="n">
        <v>46254.79055826389</v>
      </c>
      <c r="P147" t="inlineStr">
        <is>
          <t>3.0.0</t>
        </is>
      </c>
      <c r="Q147" t="inlineStr">
        <is>
          <t>1.8</t>
        </is>
      </c>
    </row>
    <row r="148">
      <c r="A148" t="inlineStr">
        <is>
          <t>Grizzly XL YO</t>
        </is>
      </c>
      <c r="B148" t="inlineStr">
        <is>
          <t>Master Model G25 Grizzly XL Relapse_TwoAge_B04</t>
        </is>
      </c>
      <c r="C148" t="inlineStr">
        <is>
          <t>JAGS_Male_2000</t>
        </is>
      </c>
      <c r="D148" t="n">
        <v>0.1</v>
      </c>
      <c r="E148" t="inlineStr">
        <is>
          <t>Variable</t>
        </is>
      </c>
      <c r="F148" t="inlineStr">
        <is>
          <t>Smoking initiation and cessation variable</t>
        </is>
      </c>
      <c r="G148" t="inlineStr">
        <is>
          <t>68 - 72</t>
        </is>
      </c>
      <c r="H148" t="inlineStr">
        <is>
          <t>DIFF_ALL</t>
        </is>
      </c>
      <c r="I148" s="10" t="n">
        <v>979</v>
      </c>
      <c r="J148">
        <f>B148&amp;D148&amp;C148</f>
        <v/>
      </c>
      <c r="K148" s="10" t="n">
        <v>768</v>
      </c>
      <c r="L148" s="10">
        <f>ROUND(IF(ISNUMBER(SEARCH("Relapse",J148)),_xlfn.XLOOKUP(J148,'Pivot and Calcs'!A:A,'Pivot and Calcs'!T:T),I148),0)</f>
        <v/>
      </c>
      <c r="M148" t="n">
        <v>0.01</v>
      </c>
      <c r="N148" t="n">
        <v>0.009999999776482582</v>
      </c>
      <c r="O148" s="43" t="n">
        <v>46254.7905587037</v>
      </c>
      <c r="P148" t="inlineStr">
        <is>
          <t>3.0.0</t>
        </is>
      </c>
      <c r="Q148" t="inlineStr">
        <is>
          <t>1.8</t>
        </is>
      </c>
    </row>
    <row r="149">
      <c r="A149" t="inlineStr">
        <is>
          <t>Grizzly XL YO</t>
        </is>
      </c>
      <c r="B149" t="inlineStr">
        <is>
          <t>Master Model G25 Grizzly XL Relapse_TwoAge_B04</t>
        </is>
      </c>
      <c r="C149" t="inlineStr">
        <is>
          <t>JAGS_Female_2000</t>
        </is>
      </c>
      <c r="D149" t="n">
        <v>0.05</v>
      </c>
      <c r="E149" t="inlineStr">
        <is>
          <t>Variable</t>
        </is>
      </c>
      <c r="F149" t="inlineStr">
        <is>
          <t>Smoking initiation and cessation variable</t>
        </is>
      </c>
      <c r="G149" t="inlineStr">
        <is>
          <t>68 - 72</t>
        </is>
      </c>
      <c r="H149" t="inlineStr">
        <is>
          <t>DIFF_ALL</t>
        </is>
      </c>
      <c r="I149" s="10" t="n">
        <v>867</v>
      </c>
      <c r="J149">
        <f>B149&amp;D149&amp;C149</f>
        <v/>
      </c>
      <c r="K149" s="10" t="n">
        <v>696</v>
      </c>
      <c r="L149" s="10">
        <f>ROUND(IF(ISNUMBER(SEARCH("Relapse",J149)),_xlfn.XLOOKUP(J149,'Pivot and Calcs'!A:A,'Pivot and Calcs'!T:T),I149),0)</f>
        <v/>
      </c>
      <c r="M149" t="n">
        <v>0.01</v>
      </c>
      <c r="N149" t="n">
        <v>0.009999999776482582</v>
      </c>
      <c r="O149" s="43" t="n">
        <v>46254.7905591551</v>
      </c>
      <c r="P149" t="inlineStr">
        <is>
          <t>3.0.0</t>
        </is>
      </c>
      <c r="Q149" t="inlineStr">
        <is>
          <t>1.8</t>
        </is>
      </c>
    </row>
    <row r="150">
      <c r="A150" t="inlineStr">
        <is>
          <t>Grizzly XL YO</t>
        </is>
      </c>
      <c r="B150" t="inlineStr">
        <is>
          <t>Master Model G25 Grizzly XL Relapse_TwoAge_B04</t>
        </is>
      </c>
      <c r="C150" t="inlineStr">
        <is>
          <t>JAGS_Female_2000</t>
        </is>
      </c>
      <c r="D150" t="n">
        <v>0.1</v>
      </c>
      <c r="E150" t="inlineStr">
        <is>
          <t>Variable</t>
        </is>
      </c>
      <c r="F150" t="inlineStr">
        <is>
          <t>Smoking initiation and cessation variable</t>
        </is>
      </c>
      <c r="G150" t="inlineStr">
        <is>
          <t>68 - 72</t>
        </is>
      </c>
      <c r="H150" t="inlineStr">
        <is>
          <t>DIFF_ALL</t>
        </is>
      </c>
      <c r="I150" s="10" t="n">
        <v>796</v>
      </c>
      <c r="J150">
        <f>B150&amp;D150&amp;C150</f>
        <v/>
      </c>
      <c r="K150" s="10" t="n">
        <v>625</v>
      </c>
      <c r="L150" s="10">
        <f>ROUND(IF(ISNUMBER(SEARCH("Relapse",J150)),_xlfn.XLOOKUP(J150,'Pivot and Calcs'!A:A,'Pivot and Calcs'!T:T),I150),0)</f>
        <v/>
      </c>
      <c r="M150" t="n">
        <v>0.01</v>
      </c>
      <c r="N150" t="n">
        <v>0.009999999776482582</v>
      </c>
      <c r="O150" s="43" t="n">
        <v>46254.79055961806</v>
      </c>
      <c r="P150" t="inlineStr">
        <is>
          <t>3.0.0</t>
        </is>
      </c>
      <c r="Q150" t="inlineStr">
        <is>
          <t>1.8</t>
        </is>
      </c>
    </row>
    <row r="151">
      <c r="A151" t="inlineStr">
        <is>
          <t>Grizzly XL YO</t>
        </is>
      </c>
      <c r="B151" t="inlineStr">
        <is>
          <t>Master Model G25 Grizzly XL Relapse_TwoAge_B05</t>
        </is>
      </c>
      <c r="C151" t="inlineStr">
        <is>
          <t>JAGS_Male_2000</t>
        </is>
      </c>
      <c r="D151" t="n">
        <v>0.05</v>
      </c>
      <c r="E151" t="inlineStr">
        <is>
          <t>Variable</t>
        </is>
      </c>
      <c r="F151" t="inlineStr">
        <is>
          <t>Smoking initiation and cessation variable</t>
        </is>
      </c>
      <c r="G151" t="inlineStr">
        <is>
          <t>68 - 72</t>
        </is>
      </c>
      <c r="H151" t="inlineStr">
        <is>
          <t>DIFF_ALL</t>
        </is>
      </c>
      <c r="I151" s="10" t="n">
        <v>729</v>
      </c>
      <c r="J151">
        <f>B151&amp;D151&amp;C151</f>
        <v/>
      </c>
      <c r="K151" s="10" t="n">
        <v>594</v>
      </c>
      <c r="L151" s="10">
        <f>ROUND(IF(ISNUMBER(SEARCH("Relapse",J151)),_xlfn.XLOOKUP(J151,'Pivot and Calcs'!A:A,'Pivot and Calcs'!T:T),I151),0)</f>
        <v/>
      </c>
      <c r="M151" t="n">
        <v>0.01</v>
      </c>
      <c r="N151" t="n">
        <v>0.009999999776482582</v>
      </c>
      <c r="O151" s="43" t="n">
        <v>46254.79124765046</v>
      </c>
      <c r="P151" t="inlineStr">
        <is>
          <t>3.0.0</t>
        </is>
      </c>
      <c r="Q151" t="inlineStr">
        <is>
          <t>1.8</t>
        </is>
      </c>
    </row>
    <row r="152">
      <c r="A152" t="inlineStr">
        <is>
          <t>Grizzly XL YO</t>
        </is>
      </c>
      <c r="B152" t="inlineStr">
        <is>
          <t>Master Model G25 Grizzly XL Relapse_TwoAge_B05</t>
        </is>
      </c>
      <c r="C152" t="inlineStr">
        <is>
          <t>JAGS_Male_2000</t>
        </is>
      </c>
      <c r="D152" t="n">
        <v>0.1</v>
      </c>
      <c r="E152" t="inlineStr">
        <is>
          <t>Variable</t>
        </is>
      </c>
      <c r="F152" t="inlineStr">
        <is>
          <t>Smoking initiation and cessation variable</t>
        </is>
      </c>
      <c r="G152" t="inlineStr">
        <is>
          <t>68 - 72</t>
        </is>
      </c>
      <c r="H152" t="inlineStr">
        <is>
          <t>DIFF_ALL</t>
        </is>
      </c>
      <c r="I152" s="10" t="n">
        <v>671</v>
      </c>
      <c r="J152">
        <f>B152&amp;D152&amp;C152</f>
        <v/>
      </c>
      <c r="K152" s="10" t="n">
        <v>536</v>
      </c>
      <c r="L152" s="10">
        <f>ROUND(IF(ISNUMBER(SEARCH("Relapse",J152)),_xlfn.XLOOKUP(J152,'Pivot and Calcs'!A:A,'Pivot and Calcs'!T:T),I152),0)</f>
        <v/>
      </c>
      <c r="M152" t="n">
        <v>0.01</v>
      </c>
      <c r="N152" t="n">
        <v>0.009999999776482582</v>
      </c>
      <c r="O152" s="43" t="n">
        <v>46254.79124815972</v>
      </c>
      <c r="P152" t="inlineStr">
        <is>
          <t>3.0.0</t>
        </is>
      </c>
      <c r="Q152" t="inlineStr">
        <is>
          <t>1.8</t>
        </is>
      </c>
    </row>
    <row r="153">
      <c r="A153" t="inlineStr">
        <is>
          <t>Grizzly XL YO</t>
        </is>
      </c>
      <c r="B153" t="inlineStr">
        <is>
          <t>Master Model G25 Grizzly XL Relapse_TwoAge_B05</t>
        </is>
      </c>
      <c r="C153" t="inlineStr">
        <is>
          <t>JAGS_Female_2000</t>
        </is>
      </c>
      <c r="D153" t="n">
        <v>0.05</v>
      </c>
      <c r="E153" t="inlineStr">
        <is>
          <t>Variable</t>
        </is>
      </c>
      <c r="F153" t="inlineStr">
        <is>
          <t>Smoking initiation and cessation variable</t>
        </is>
      </c>
      <c r="G153" t="inlineStr">
        <is>
          <t>68 - 72</t>
        </is>
      </c>
      <c r="H153" t="inlineStr">
        <is>
          <t>DIFF_ALL</t>
        </is>
      </c>
      <c r="I153" s="10" t="n">
        <v>606</v>
      </c>
      <c r="J153">
        <f>B153&amp;D153&amp;C153</f>
        <v/>
      </c>
      <c r="K153" s="10" t="n">
        <v>495</v>
      </c>
      <c r="L153" s="10">
        <f>ROUND(IF(ISNUMBER(SEARCH("Relapse",J153)),_xlfn.XLOOKUP(J153,'Pivot and Calcs'!A:A,'Pivot and Calcs'!T:T),I153),0)</f>
        <v/>
      </c>
      <c r="M153" t="n">
        <v>0.01</v>
      </c>
      <c r="N153" t="n">
        <v>0.009999999776482582</v>
      </c>
      <c r="O153" s="43" t="n">
        <v>46254.79124862269</v>
      </c>
      <c r="P153" t="inlineStr">
        <is>
          <t>3.0.0</t>
        </is>
      </c>
      <c r="Q153" t="inlineStr">
        <is>
          <t>1.8</t>
        </is>
      </c>
    </row>
    <row r="154">
      <c r="A154" t="inlineStr">
        <is>
          <t>Grizzly XL YO</t>
        </is>
      </c>
      <c r="B154" t="inlineStr">
        <is>
          <t>Master Model G25 Grizzly XL Relapse_TwoAge_B05</t>
        </is>
      </c>
      <c r="C154" t="inlineStr">
        <is>
          <t>JAGS_Female_2000</t>
        </is>
      </c>
      <c r="D154" t="n">
        <v>0.1</v>
      </c>
      <c r="E154" t="inlineStr">
        <is>
          <t>Variable</t>
        </is>
      </c>
      <c r="F154" t="inlineStr">
        <is>
          <t>Smoking initiation and cessation variable</t>
        </is>
      </c>
      <c r="G154" t="inlineStr">
        <is>
          <t>68 - 72</t>
        </is>
      </c>
      <c r="H154" t="inlineStr">
        <is>
          <t>DIFF_ALL</t>
        </is>
      </c>
      <c r="I154" s="10" t="n">
        <v>559</v>
      </c>
      <c r="J154">
        <f>B154&amp;D154&amp;C154</f>
        <v/>
      </c>
      <c r="K154" s="10" t="n">
        <v>447</v>
      </c>
      <c r="L154" s="10">
        <f>ROUND(IF(ISNUMBER(SEARCH("Relapse",J154)),_xlfn.XLOOKUP(J154,'Pivot and Calcs'!A:A,'Pivot and Calcs'!T:T),I154),0)</f>
        <v/>
      </c>
      <c r="M154" t="n">
        <v>0.01</v>
      </c>
      <c r="N154" t="n">
        <v>0.009999999776482582</v>
      </c>
      <c r="O154" s="43" t="n">
        <v>46254.79124907407</v>
      </c>
      <c r="P154" t="inlineStr">
        <is>
          <t>3.0.0</t>
        </is>
      </c>
      <c r="Q154" t="inlineStr">
        <is>
          <t>1.8</t>
        </is>
      </c>
    </row>
    <row r="155">
      <c r="A155" t="inlineStr">
        <is>
          <t>Grizzly XL YO</t>
        </is>
      </c>
      <c r="B155" t="inlineStr">
        <is>
          <t>Master Model G25 Grizzly XL Relapse_TwoAge_B06</t>
        </is>
      </c>
      <c r="C155" t="inlineStr">
        <is>
          <t>JAGS_Male_2000</t>
        </is>
      </c>
      <c r="D155" t="n">
        <v>0.05</v>
      </c>
      <c r="E155" t="inlineStr">
        <is>
          <t>Variable</t>
        </is>
      </c>
      <c r="F155" t="inlineStr">
        <is>
          <t>Smoking initiation and cessation variable</t>
        </is>
      </c>
      <c r="G155" t="inlineStr">
        <is>
          <t>68 - 72</t>
        </is>
      </c>
      <c r="H155" t="inlineStr">
        <is>
          <t>DIFF_ALL</t>
        </is>
      </c>
      <c r="I155" s="10" t="n">
        <v>492</v>
      </c>
      <c r="J155">
        <f>B155&amp;D155&amp;C155</f>
        <v/>
      </c>
      <c r="K155" s="10" t="n">
        <v>391</v>
      </c>
      <c r="L155" s="10">
        <f>ROUND(IF(ISNUMBER(SEARCH("Relapse",J155)),_xlfn.XLOOKUP(J155,'Pivot and Calcs'!A:A,'Pivot and Calcs'!T:T),I155),0)</f>
        <v/>
      </c>
      <c r="M155" t="n">
        <v>0.01</v>
      </c>
      <c r="N155" t="n">
        <v>0.009999999776482582</v>
      </c>
      <c r="O155" s="43" t="n">
        <v>46254.79179863426</v>
      </c>
      <c r="P155" t="inlineStr">
        <is>
          <t>3.0.0</t>
        </is>
      </c>
      <c r="Q155" t="inlineStr">
        <is>
          <t>1.8</t>
        </is>
      </c>
    </row>
    <row r="156">
      <c r="A156" t="inlineStr">
        <is>
          <t>Grizzly XL YO</t>
        </is>
      </c>
      <c r="B156" t="inlineStr">
        <is>
          <t>Master Model G25 Grizzly XL Relapse_TwoAge_B06</t>
        </is>
      </c>
      <c r="C156" t="inlineStr">
        <is>
          <t>JAGS_Male_2000</t>
        </is>
      </c>
      <c r="D156" t="n">
        <v>0.1</v>
      </c>
      <c r="E156" t="inlineStr">
        <is>
          <t>Variable</t>
        </is>
      </c>
      <c r="F156" t="inlineStr">
        <is>
          <t>Smoking initiation and cessation variable</t>
        </is>
      </c>
      <c r="G156" t="inlineStr">
        <is>
          <t>68 - 72</t>
        </is>
      </c>
      <c r="H156" t="inlineStr">
        <is>
          <t>DIFF_ALL</t>
        </is>
      </c>
      <c r="I156" s="10" t="n">
        <v>454</v>
      </c>
      <c r="J156">
        <f>B156&amp;D156&amp;C156</f>
        <v/>
      </c>
      <c r="K156" s="10" t="n">
        <v>353</v>
      </c>
      <c r="L156" s="10">
        <f>ROUND(IF(ISNUMBER(SEARCH("Relapse",J156)),_xlfn.XLOOKUP(J156,'Pivot and Calcs'!A:A,'Pivot and Calcs'!T:T),I156),0)</f>
        <v/>
      </c>
      <c r="M156" t="n">
        <v>0.01</v>
      </c>
      <c r="N156" t="n">
        <v>0.009999999776482582</v>
      </c>
      <c r="O156" s="43" t="n">
        <v>46254.79179914352</v>
      </c>
      <c r="P156" t="inlineStr">
        <is>
          <t>3.0.0</t>
        </is>
      </c>
      <c r="Q156" t="inlineStr">
        <is>
          <t>1.8</t>
        </is>
      </c>
    </row>
    <row r="157">
      <c r="A157" t="inlineStr">
        <is>
          <t>Grizzly XL YO</t>
        </is>
      </c>
      <c r="B157" t="inlineStr">
        <is>
          <t>Master Model G25 Grizzly XL Relapse_TwoAge_B06</t>
        </is>
      </c>
      <c r="C157" t="inlineStr">
        <is>
          <t>JAGS_Female_2000</t>
        </is>
      </c>
      <c r="D157" t="n">
        <v>0.05</v>
      </c>
      <c r="E157" t="inlineStr">
        <is>
          <t>Variable</t>
        </is>
      </c>
      <c r="F157" t="inlineStr">
        <is>
          <t>Smoking initiation and cessation variable</t>
        </is>
      </c>
      <c r="G157" t="inlineStr">
        <is>
          <t>68 - 72</t>
        </is>
      </c>
      <c r="H157" t="inlineStr">
        <is>
          <t>DIFF_ALL</t>
        </is>
      </c>
      <c r="I157" s="10" t="n">
        <v>420</v>
      </c>
      <c r="J157">
        <f>B157&amp;D157&amp;C157</f>
        <v/>
      </c>
      <c r="K157" s="10" t="n">
        <v>334</v>
      </c>
      <c r="L157" s="10">
        <f>ROUND(IF(ISNUMBER(SEARCH("Relapse",J157)),_xlfn.XLOOKUP(J157,'Pivot and Calcs'!A:A,'Pivot and Calcs'!T:T),I157),0)</f>
        <v/>
      </c>
      <c r="M157" t="n">
        <v>0.01</v>
      </c>
      <c r="N157" t="n">
        <v>0.009999999776482582</v>
      </c>
      <c r="O157" s="43" t="n">
        <v>46254.79179966435</v>
      </c>
      <c r="P157" t="inlineStr">
        <is>
          <t>3.0.0</t>
        </is>
      </c>
      <c r="Q157" t="inlineStr">
        <is>
          <t>1.8</t>
        </is>
      </c>
    </row>
    <row r="158">
      <c r="A158" t="inlineStr">
        <is>
          <t>Grizzly XL YO</t>
        </is>
      </c>
      <c r="B158" t="inlineStr">
        <is>
          <t>Master Model G25 Grizzly XL Relapse_TwoAge_B06</t>
        </is>
      </c>
      <c r="C158" t="inlineStr">
        <is>
          <t>JAGS_Female_2000</t>
        </is>
      </c>
      <c r="D158" t="n">
        <v>0.1</v>
      </c>
      <c r="E158" t="inlineStr">
        <is>
          <t>Variable</t>
        </is>
      </c>
      <c r="F158" t="inlineStr">
        <is>
          <t>Smoking initiation and cessation variable</t>
        </is>
      </c>
      <c r="G158" t="inlineStr">
        <is>
          <t>68 - 72</t>
        </is>
      </c>
      <c r="H158" t="inlineStr">
        <is>
          <t>DIFF_ALL</t>
        </is>
      </c>
      <c r="I158" s="10" t="n">
        <v>388</v>
      </c>
      <c r="J158">
        <f>B158&amp;D158&amp;C158</f>
        <v/>
      </c>
      <c r="K158" s="10" t="n">
        <v>301</v>
      </c>
      <c r="L158" s="10">
        <f>ROUND(IF(ISNUMBER(SEARCH("Relapse",J158)),_xlfn.XLOOKUP(J158,'Pivot and Calcs'!A:A,'Pivot and Calcs'!T:T),I158),0)</f>
        <v/>
      </c>
      <c r="M158" t="n">
        <v>0.01</v>
      </c>
      <c r="N158" t="n">
        <v>0.009999999776482582</v>
      </c>
      <c r="O158" s="43" t="n">
        <v>46254.79180011574</v>
      </c>
      <c r="P158" t="inlineStr">
        <is>
          <t>3.0.0</t>
        </is>
      </c>
      <c r="Q158" t="inlineStr">
        <is>
          <t>1.8</t>
        </is>
      </c>
    </row>
    <row r="159">
      <c r="A159" t="inlineStr">
        <is>
          <t>Grizzly XL YO</t>
        </is>
      </c>
      <c r="B159" t="inlineStr">
        <is>
          <t>Master Model G25 Grizzly XL Relapse_TwoAge_B07</t>
        </is>
      </c>
      <c r="C159" t="inlineStr">
        <is>
          <t>JAGS_Male_2000</t>
        </is>
      </c>
      <c r="D159" t="n">
        <v>0.05</v>
      </c>
      <c r="E159" t="inlineStr">
        <is>
          <t>Variable</t>
        </is>
      </c>
      <c r="F159" t="inlineStr">
        <is>
          <t>Smoking initiation and cessation variable</t>
        </is>
      </c>
      <c r="G159" t="inlineStr">
        <is>
          <t>68 - 72</t>
        </is>
      </c>
      <c r="H159" t="inlineStr">
        <is>
          <t>DIFF_ALL</t>
        </is>
      </c>
      <c r="I159" s="10" t="n">
        <v>245</v>
      </c>
      <c r="J159">
        <f>B159&amp;D159&amp;C159</f>
        <v/>
      </c>
      <c r="K159" s="10" t="n">
        <v>195</v>
      </c>
      <c r="L159" s="10">
        <f>ROUND(IF(ISNUMBER(SEARCH("Relapse",J159)),_xlfn.XLOOKUP(J159,'Pivot and Calcs'!A:A,'Pivot and Calcs'!T:T),I159),0)</f>
        <v/>
      </c>
      <c r="M159" t="n">
        <v>0.01</v>
      </c>
      <c r="N159" t="n">
        <v>0.009999999776482582</v>
      </c>
      <c r="O159" s="43" t="n">
        <v>46254.79205511574</v>
      </c>
      <c r="P159" t="inlineStr">
        <is>
          <t>3.0.0</t>
        </is>
      </c>
      <c r="Q159" t="inlineStr">
        <is>
          <t>1.8</t>
        </is>
      </c>
    </row>
    <row r="160">
      <c r="A160" t="inlineStr">
        <is>
          <t>Grizzly XL YO</t>
        </is>
      </c>
      <c r="B160" t="inlineStr">
        <is>
          <t>Master Model G25 Grizzly XL Relapse_TwoAge_B07</t>
        </is>
      </c>
      <c r="C160" t="inlineStr">
        <is>
          <t>JAGS_Male_2000</t>
        </is>
      </c>
      <c r="D160" t="n">
        <v>0.1</v>
      </c>
      <c r="E160" t="inlineStr">
        <is>
          <t>Variable</t>
        </is>
      </c>
      <c r="F160" t="inlineStr">
        <is>
          <t>Smoking initiation and cessation variable</t>
        </is>
      </c>
      <c r="G160" t="inlineStr">
        <is>
          <t>68 - 72</t>
        </is>
      </c>
      <c r="H160" t="inlineStr">
        <is>
          <t>DIFF_ALL</t>
        </is>
      </c>
      <c r="I160" s="10" t="n">
        <v>227</v>
      </c>
      <c r="J160">
        <f>B160&amp;D160&amp;C160</f>
        <v/>
      </c>
      <c r="K160" s="10" t="n">
        <v>176</v>
      </c>
      <c r="L160" s="10">
        <f>ROUND(IF(ISNUMBER(SEARCH("Relapse",J160)),_xlfn.XLOOKUP(J160,'Pivot and Calcs'!A:A,'Pivot and Calcs'!T:T),I160),0)</f>
        <v/>
      </c>
      <c r="M160" t="n">
        <v>0.01</v>
      </c>
      <c r="N160" t="n">
        <v>0.009999999776482582</v>
      </c>
      <c r="O160" s="43" t="n">
        <v>46254.79205569444</v>
      </c>
      <c r="P160" t="inlineStr">
        <is>
          <t>3.0.0</t>
        </is>
      </c>
      <c r="Q160" t="inlineStr">
        <is>
          <t>1.8</t>
        </is>
      </c>
    </row>
    <row r="161">
      <c r="A161" t="inlineStr">
        <is>
          <t>Grizzly XL YO</t>
        </is>
      </c>
      <c r="B161" t="inlineStr">
        <is>
          <t>Master Model G25 Grizzly XL Relapse_TwoAge_B07</t>
        </is>
      </c>
      <c r="C161" t="inlineStr">
        <is>
          <t>JAGS_Female_2000</t>
        </is>
      </c>
      <c r="D161" t="n">
        <v>0.05</v>
      </c>
      <c r="E161" t="inlineStr">
        <is>
          <t>Variable</t>
        </is>
      </c>
      <c r="F161" t="inlineStr">
        <is>
          <t>Smoking initiation and cessation variable</t>
        </is>
      </c>
      <c r="G161" t="inlineStr">
        <is>
          <t>68 - 72</t>
        </is>
      </c>
      <c r="H161" t="inlineStr">
        <is>
          <t>DIFF_ALL</t>
        </is>
      </c>
      <c r="I161" s="10" t="n">
        <v>214</v>
      </c>
      <c r="J161">
        <f>B161&amp;D161&amp;C161</f>
        <v/>
      </c>
      <c r="K161" s="10" t="n">
        <v>170</v>
      </c>
      <c r="L161" s="10">
        <f>ROUND(IF(ISNUMBER(SEARCH("Relapse",J161)),_xlfn.XLOOKUP(J161,'Pivot and Calcs'!A:A,'Pivot and Calcs'!T:T),I161),0)</f>
        <v/>
      </c>
      <c r="M161" t="n">
        <v>0.01</v>
      </c>
      <c r="N161" t="n">
        <v>0.009999999776482582</v>
      </c>
      <c r="O161" s="43" t="n">
        <v>46254.79205622685</v>
      </c>
      <c r="P161" t="inlineStr">
        <is>
          <t>3.0.0</t>
        </is>
      </c>
      <c r="Q161" t="inlineStr">
        <is>
          <t>1.8</t>
        </is>
      </c>
    </row>
    <row r="162">
      <c r="A162" t="inlineStr">
        <is>
          <t>Grizzly XL YO</t>
        </is>
      </c>
      <c r="B162" t="inlineStr">
        <is>
          <t>Master Model G25 Grizzly XL Relapse_TwoAge_B07</t>
        </is>
      </c>
      <c r="C162" t="inlineStr">
        <is>
          <t>JAGS_Female_2000</t>
        </is>
      </c>
      <c r="D162" t="n">
        <v>0.1</v>
      </c>
      <c r="E162" t="inlineStr">
        <is>
          <t>Variable</t>
        </is>
      </c>
      <c r="F162" t="inlineStr">
        <is>
          <t>Smoking initiation and cessation variable</t>
        </is>
      </c>
      <c r="G162" t="inlineStr">
        <is>
          <t>68 - 72</t>
        </is>
      </c>
      <c r="H162" t="inlineStr">
        <is>
          <t>DIFF_ALL</t>
        </is>
      </c>
      <c r="I162" s="10" t="n">
        <v>199</v>
      </c>
      <c r="J162">
        <f>B162&amp;D162&amp;C162</f>
        <v/>
      </c>
      <c r="K162" s="10" t="n">
        <v>155</v>
      </c>
      <c r="L162" s="10">
        <f>ROUND(IF(ISNUMBER(SEARCH("Relapse",J162)),_xlfn.XLOOKUP(J162,'Pivot and Calcs'!A:A,'Pivot and Calcs'!T:T),I162),0)</f>
        <v/>
      </c>
      <c r="M162" t="n">
        <v>0.01</v>
      </c>
      <c r="N162" t="n">
        <v>0.009999999776482582</v>
      </c>
      <c r="O162" s="43" t="n">
        <v>46254.79205736111</v>
      </c>
      <c r="P162" t="inlineStr">
        <is>
          <t>3.0.0</t>
        </is>
      </c>
      <c r="Q162" t="inlineStr">
        <is>
          <t>1.8</t>
        </is>
      </c>
    </row>
    <row r="163">
      <c r="A163" t="inlineStr">
        <is>
          <t>Grizzly XL YO</t>
        </is>
      </c>
      <c r="B163" t="inlineStr">
        <is>
          <t>Master Model G25 Grizzly XL Relapse_TwoAge_B08</t>
        </is>
      </c>
      <c r="C163" t="inlineStr">
        <is>
          <t>JAGS_Male_2000</t>
        </is>
      </c>
      <c r="D163" t="n">
        <v>0.05</v>
      </c>
      <c r="E163" t="inlineStr">
        <is>
          <t>Variable</t>
        </is>
      </c>
      <c r="F163" t="inlineStr">
        <is>
          <t>Smoking initiation and cessation variable</t>
        </is>
      </c>
      <c r="G163" t="inlineStr">
        <is>
          <t>68 - 72</t>
        </is>
      </c>
      <c r="H163" t="inlineStr">
        <is>
          <t>DIFF_ALL</t>
        </is>
      </c>
      <c r="I163" s="10" t="n">
        <v>81</v>
      </c>
      <c r="J163">
        <f>B163&amp;D163&amp;C163</f>
        <v/>
      </c>
      <c r="K163" s="10" t="n">
        <v>68</v>
      </c>
      <c r="L163" s="10">
        <f>ROUND(IF(ISNUMBER(SEARCH("Relapse",J163)),_xlfn.XLOOKUP(J163,'Pivot and Calcs'!A:A,'Pivot and Calcs'!T:T),I163),0)</f>
        <v/>
      </c>
      <c r="M163" t="n">
        <v>0.01</v>
      </c>
      <c r="N163" t="n">
        <v>0.009999999776482582</v>
      </c>
      <c r="O163" s="43" t="n">
        <v>46254.79251269676</v>
      </c>
      <c r="P163" t="inlineStr">
        <is>
          <t>3.0.0</t>
        </is>
      </c>
      <c r="Q163" t="inlineStr">
        <is>
          <t>1.8</t>
        </is>
      </c>
    </row>
    <row r="164">
      <c r="A164" t="inlineStr">
        <is>
          <t>Grizzly XL YO</t>
        </is>
      </c>
      <c r="B164" t="inlineStr">
        <is>
          <t>Master Model G25 Grizzly XL Relapse_TwoAge_B08</t>
        </is>
      </c>
      <c r="C164" t="inlineStr">
        <is>
          <t>JAGS_Male_2000</t>
        </is>
      </c>
      <c r="D164" t="n">
        <v>0.1</v>
      </c>
      <c r="E164" t="inlineStr">
        <is>
          <t>Variable</t>
        </is>
      </c>
      <c r="F164" t="inlineStr">
        <is>
          <t>Smoking initiation and cessation variable</t>
        </is>
      </c>
      <c r="G164" t="inlineStr">
        <is>
          <t>68 - 72</t>
        </is>
      </c>
      <c r="H164" t="inlineStr">
        <is>
          <t>DIFF_ALL</t>
        </is>
      </c>
      <c r="I164" s="10" t="n">
        <v>75</v>
      </c>
      <c r="J164">
        <f>B164&amp;D164&amp;C164</f>
        <v/>
      </c>
      <c r="K164" s="10" t="n">
        <v>62</v>
      </c>
      <c r="L164" s="10">
        <f>ROUND(IF(ISNUMBER(SEARCH("Relapse",J164)),_xlfn.XLOOKUP(J164,'Pivot and Calcs'!A:A,'Pivot and Calcs'!T:T),I164),0)</f>
        <v/>
      </c>
      <c r="M164" t="n">
        <v>0.01</v>
      </c>
      <c r="N164" t="n">
        <v>0.009999999776482582</v>
      </c>
      <c r="O164" s="43" t="n">
        <v>46254.79251325232</v>
      </c>
      <c r="P164" t="inlineStr">
        <is>
          <t>3.0.0</t>
        </is>
      </c>
      <c r="Q164" t="inlineStr">
        <is>
          <t>1.8</t>
        </is>
      </c>
    </row>
    <row r="165">
      <c r="A165" t="inlineStr">
        <is>
          <t>Grizzly XL YO</t>
        </is>
      </c>
      <c r="B165" t="inlineStr">
        <is>
          <t>Master Model G25 Grizzly XL Relapse_TwoAge_B08</t>
        </is>
      </c>
      <c r="C165" t="inlineStr">
        <is>
          <t>JAGS_Female_2000</t>
        </is>
      </c>
      <c r="D165" t="n">
        <v>0.05</v>
      </c>
      <c r="E165" t="inlineStr">
        <is>
          <t>Variable</t>
        </is>
      </c>
      <c r="F165" t="inlineStr">
        <is>
          <t>Smoking initiation and cessation variable</t>
        </is>
      </c>
      <c r="G165" t="inlineStr">
        <is>
          <t>68 - 72</t>
        </is>
      </c>
      <c r="H165" t="inlineStr">
        <is>
          <t>DIFF_ALL</t>
        </is>
      </c>
      <c r="I165" s="10" t="n">
        <v>73</v>
      </c>
      <c r="J165">
        <f>B165&amp;D165&amp;C165</f>
        <v/>
      </c>
      <c r="K165" s="10" t="n">
        <v>61</v>
      </c>
      <c r="L165" s="10">
        <f>ROUND(IF(ISNUMBER(SEARCH("Relapse",J165)),_xlfn.XLOOKUP(J165,'Pivot and Calcs'!A:A,'Pivot and Calcs'!T:T),I165),0)</f>
        <v/>
      </c>
      <c r="M165" t="n">
        <v>0.01</v>
      </c>
      <c r="N165" t="n">
        <v>0.009999999776482582</v>
      </c>
      <c r="O165" s="43" t="n">
        <v>46254.79251380787</v>
      </c>
      <c r="P165" t="inlineStr">
        <is>
          <t>3.0.0</t>
        </is>
      </c>
      <c r="Q165" t="inlineStr">
        <is>
          <t>1.8</t>
        </is>
      </c>
    </row>
    <row r="166">
      <c r="A166" t="inlineStr">
        <is>
          <t>Grizzly XL YO</t>
        </is>
      </c>
      <c r="B166" t="inlineStr">
        <is>
          <t>Master Model G25 Grizzly XL Relapse_TwoAge_B08</t>
        </is>
      </c>
      <c r="C166" t="inlineStr">
        <is>
          <t>JAGS_Female_2000</t>
        </is>
      </c>
      <c r="D166" t="n">
        <v>0.1</v>
      </c>
      <c r="E166" t="inlineStr">
        <is>
          <t>Variable</t>
        </is>
      </c>
      <c r="F166" t="inlineStr">
        <is>
          <t>Smoking initiation and cessation variable</t>
        </is>
      </c>
      <c r="G166" t="inlineStr">
        <is>
          <t>68 - 72</t>
        </is>
      </c>
      <c r="H166" t="inlineStr">
        <is>
          <t>DIFF_ALL</t>
        </is>
      </c>
      <c r="I166" s="10" t="n">
        <v>68</v>
      </c>
      <c r="J166">
        <f>B166&amp;D166&amp;C166</f>
        <v/>
      </c>
      <c r="K166" s="10" t="n">
        <v>56</v>
      </c>
      <c r="L166" s="10">
        <f>ROUND(IF(ISNUMBER(SEARCH("Relapse",J166)),_xlfn.XLOOKUP(J166,'Pivot and Calcs'!A:A,'Pivot and Calcs'!T:T),I166),0)</f>
        <v/>
      </c>
      <c r="M166" t="n">
        <v>0.01</v>
      </c>
      <c r="N166" t="n">
        <v>0.009999999776482582</v>
      </c>
      <c r="O166" s="43" t="n">
        <v>46254.79251467592</v>
      </c>
      <c r="P166" t="inlineStr">
        <is>
          <t>3.0.0</t>
        </is>
      </c>
      <c r="Q166" t="inlineStr">
        <is>
          <t>1.8</t>
        </is>
      </c>
    </row>
    <row r="167">
      <c r="A167" t="inlineStr">
        <is>
          <t>Grizzly XL YO</t>
        </is>
      </c>
      <c r="B167" t="inlineStr">
        <is>
          <t>Master Model G25 Grizzly XL Relapse_TwoAge_B09</t>
        </is>
      </c>
      <c r="C167" t="inlineStr">
        <is>
          <t>JAGS_Male_2000</t>
        </is>
      </c>
      <c r="D167" t="n">
        <v>0.05</v>
      </c>
      <c r="E167" t="inlineStr">
        <is>
          <t>Variable</t>
        </is>
      </c>
      <c r="F167" t="inlineStr">
        <is>
          <t>Smoking initiation and cessation variable</t>
        </is>
      </c>
      <c r="G167" t="inlineStr">
        <is>
          <t>68 - 72</t>
        </is>
      </c>
      <c r="H167" t="inlineStr">
        <is>
          <t>DIFF_ALL</t>
        </is>
      </c>
      <c r="I167" s="10" t="n">
        <v>23</v>
      </c>
      <c r="J167">
        <f>B167&amp;D167&amp;C167</f>
        <v/>
      </c>
      <c r="K167" s="10" t="n">
        <v>15</v>
      </c>
      <c r="L167" s="10">
        <f>ROUND(IF(ISNUMBER(SEARCH("Relapse",J167)),_xlfn.XLOOKUP(J167,'Pivot and Calcs'!A:A,'Pivot and Calcs'!T:T),I167),0)</f>
        <v/>
      </c>
      <c r="M167" t="n">
        <v>0.01</v>
      </c>
      <c r="N167" t="n">
        <v>0.009999999776482582</v>
      </c>
      <c r="O167" s="43" t="n">
        <v>46254.7927246875</v>
      </c>
      <c r="P167" t="inlineStr">
        <is>
          <t>3.0.0</t>
        </is>
      </c>
      <c r="Q167" t="inlineStr">
        <is>
          <t>1.8</t>
        </is>
      </c>
    </row>
    <row r="168">
      <c r="A168" t="inlineStr">
        <is>
          <t>Grizzly XL YO</t>
        </is>
      </c>
      <c r="B168" t="inlineStr">
        <is>
          <t>Master Model G25 Grizzly XL Relapse_TwoAge_B09</t>
        </is>
      </c>
      <c r="C168" t="inlineStr">
        <is>
          <t>JAGS_Male_2000</t>
        </is>
      </c>
      <c r="D168" t="n">
        <v>0.1</v>
      </c>
      <c r="E168" t="inlineStr">
        <is>
          <t>Variable</t>
        </is>
      </c>
      <c r="F168" t="inlineStr">
        <is>
          <t>Smoking initiation and cessation variable</t>
        </is>
      </c>
      <c r="G168" t="inlineStr">
        <is>
          <t>68 - 72</t>
        </is>
      </c>
      <c r="H168" t="inlineStr">
        <is>
          <t>DIFF_ALL</t>
        </is>
      </c>
      <c r="I168" s="10" t="n">
        <v>21</v>
      </c>
      <c r="J168">
        <f>B168&amp;D168&amp;C168</f>
        <v/>
      </c>
      <c r="K168" s="10" t="n">
        <v>13</v>
      </c>
      <c r="L168" s="10">
        <f>ROUND(IF(ISNUMBER(SEARCH("Relapse",J168)),_xlfn.XLOOKUP(J168,'Pivot and Calcs'!A:A,'Pivot and Calcs'!T:T),I168),0)</f>
        <v/>
      </c>
      <c r="M168" t="n">
        <v>0.01</v>
      </c>
      <c r="N168" t="n">
        <v>0.009999999776482582</v>
      </c>
      <c r="O168" s="43" t="n">
        <v>46254.7927296412</v>
      </c>
      <c r="P168" t="inlineStr">
        <is>
          <t>3.0.0</t>
        </is>
      </c>
      <c r="Q168" t="inlineStr">
        <is>
          <t>1.8</t>
        </is>
      </c>
    </row>
    <row r="169">
      <c r="A169" t="inlineStr">
        <is>
          <t>Grizzly XL YO</t>
        </is>
      </c>
      <c r="B169" t="inlineStr">
        <is>
          <t>Master Model G25 Grizzly XL Relapse_TwoAge_B09</t>
        </is>
      </c>
      <c r="C169" t="inlineStr">
        <is>
          <t>JAGS_Female_2000</t>
        </is>
      </c>
      <c r="D169" t="n">
        <v>0.05</v>
      </c>
      <c r="E169" t="inlineStr">
        <is>
          <t>Variable</t>
        </is>
      </c>
      <c r="F169" t="inlineStr">
        <is>
          <t>Smoking initiation and cessation variable</t>
        </is>
      </c>
      <c r="G169" t="inlineStr">
        <is>
          <t>68 - 72</t>
        </is>
      </c>
      <c r="H169" t="inlineStr">
        <is>
          <t>DIFF_ALL</t>
        </is>
      </c>
      <c r="I169" s="10" t="n">
        <v>21</v>
      </c>
      <c r="J169">
        <f>B169&amp;D169&amp;C169</f>
        <v/>
      </c>
      <c r="K169" s="10" t="n">
        <v>15</v>
      </c>
      <c r="L169" s="10">
        <f>ROUND(IF(ISNUMBER(SEARCH("Relapse",J169)),_xlfn.XLOOKUP(J169,'Pivot and Calcs'!A:A,'Pivot and Calcs'!T:T),I169),0)</f>
        <v/>
      </c>
      <c r="M169" t="n">
        <v>0.01</v>
      </c>
      <c r="N169" t="n">
        <v>0.009999999776482582</v>
      </c>
      <c r="O169" s="43" t="n">
        <v>46254.79273502315</v>
      </c>
      <c r="P169" t="inlineStr">
        <is>
          <t>3.0.0</t>
        </is>
      </c>
      <c r="Q169" t="inlineStr">
        <is>
          <t>1.8</t>
        </is>
      </c>
    </row>
    <row r="170">
      <c r="A170" t="inlineStr">
        <is>
          <t>Grizzly XL YO</t>
        </is>
      </c>
      <c r="B170" t="inlineStr">
        <is>
          <t>Master Model G25 Grizzly XL Relapse_TwoAge_B09</t>
        </is>
      </c>
      <c r="C170" t="inlineStr">
        <is>
          <t>JAGS_Female_2000</t>
        </is>
      </c>
      <c r="D170" t="n">
        <v>0.1</v>
      </c>
      <c r="E170" t="inlineStr">
        <is>
          <t>Variable</t>
        </is>
      </c>
      <c r="F170" t="inlineStr">
        <is>
          <t>Smoking initiation and cessation variable</t>
        </is>
      </c>
      <c r="G170" t="inlineStr">
        <is>
          <t>68 - 72</t>
        </is>
      </c>
      <c r="H170" t="inlineStr">
        <is>
          <t>DIFF_ALL</t>
        </is>
      </c>
      <c r="I170" s="10" t="n">
        <v>20</v>
      </c>
      <c r="J170">
        <f>B170&amp;D170&amp;C170</f>
        <v/>
      </c>
      <c r="K170" s="10" t="n">
        <v>13</v>
      </c>
      <c r="L170" s="10">
        <f>ROUND(IF(ISNUMBER(SEARCH("Relapse",J170)),_xlfn.XLOOKUP(J170,'Pivot and Calcs'!A:A,'Pivot and Calcs'!T:T),I170),0)</f>
        <v/>
      </c>
      <c r="M170" t="n">
        <v>0.01</v>
      </c>
      <c r="N170" t="n">
        <v>0.009999999776482582</v>
      </c>
      <c r="O170" s="43" t="n">
        <v>46254.79273803241</v>
      </c>
      <c r="P170" t="inlineStr">
        <is>
          <t>3.0.0</t>
        </is>
      </c>
      <c r="Q170" t="inlineStr">
        <is>
          <t>1.8</t>
        </is>
      </c>
    </row>
    <row r="171">
      <c r="A171" t="inlineStr">
        <is>
          <t>Grizzly XL YO</t>
        </is>
      </c>
      <c r="B171" t="inlineStr">
        <is>
          <t>Master Model G25 Grizzly XL Relapse_TwoAge_B10</t>
        </is>
      </c>
      <c r="C171" t="inlineStr">
        <is>
          <t>JAGS_Male_2000</t>
        </is>
      </c>
      <c r="D171" t="n">
        <v>0.05</v>
      </c>
      <c r="E171" t="inlineStr">
        <is>
          <t>Variable</t>
        </is>
      </c>
      <c r="F171" t="inlineStr">
        <is>
          <t>Smoking initiation and cessation variable</t>
        </is>
      </c>
      <c r="G171" t="inlineStr">
        <is>
          <t>68 - 72</t>
        </is>
      </c>
      <c r="H171" t="inlineStr">
        <is>
          <t>DIFF_ALL</t>
        </is>
      </c>
      <c r="I171" s="10" t="n">
        <v>9</v>
      </c>
      <c r="J171">
        <f>B171&amp;D171&amp;C171</f>
        <v/>
      </c>
      <c r="K171" s="10" t="n">
        <v>6</v>
      </c>
      <c r="L171" s="10">
        <f>ROUND(IF(ISNUMBER(SEARCH("Relapse",J171)),_xlfn.XLOOKUP(J171,'Pivot and Calcs'!A:A,'Pivot and Calcs'!T:T),I171),0)</f>
        <v/>
      </c>
      <c r="M171" t="n">
        <v>0.01</v>
      </c>
      <c r="N171" t="n">
        <v>0.009999999776482582</v>
      </c>
      <c r="O171" s="43" t="n">
        <v>46254.79303891204</v>
      </c>
      <c r="P171" t="inlineStr">
        <is>
          <t>3.0.0</t>
        </is>
      </c>
      <c r="Q171" t="inlineStr">
        <is>
          <t>1.8</t>
        </is>
      </c>
    </row>
    <row r="172">
      <c r="A172" t="inlineStr">
        <is>
          <t>Grizzly XL YO</t>
        </is>
      </c>
      <c r="B172" t="inlineStr">
        <is>
          <t>Master Model G25 Grizzly XL Relapse_TwoAge_B10</t>
        </is>
      </c>
      <c r="C172" t="inlineStr">
        <is>
          <t>JAGS_Male_2000</t>
        </is>
      </c>
      <c r="D172" t="n">
        <v>0.1</v>
      </c>
      <c r="E172" t="inlineStr">
        <is>
          <t>Variable</t>
        </is>
      </c>
      <c r="F172" t="inlineStr">
        <is>
          <t>Smoking initiation and cessation variable</t>
        </is>
      </c>
      <c r="G172" t="inlineStr">
        <is>
          <t>68 - 72</t>
        </is>
      </c>
      <c r="H172" t="inlineStr">
        <is>
          <t>DIFF_ALL</t>
        </is>
      </c>
      <c r="I172" s="10" t="n">
        <v>8</v>
      </c>
      <c r="J172">
        <f>B172&amp;D172&amp;C172</f>
        <v/>
      </c>
      <c r="K172" s="10" t="n">
        <v>5</v>
      </c>
      <c r="L172" s="10">
        <f>ROUND(IF(ISNUMBER(SEARCH("Relapse",J172)),_xlfn.XLOOKUP(J172,'Pivot and Calcs'!A:A,'Pivot and Calcs'!T:T),I172),0)</f>
        <v/>
      </c>
      <c r="M172" t="n">
        <v>0.01</v>
      </c>
      <c r="N172" t="n">
        <v>0.009999999776482582</v>
      </c>
      <c r="O172" s="43" t="n">
        <v>46254.79303944444</v>
      </c>
      <c r="P172" t="inlineStr">
        <is>
          <t>3.0.0</t>
        </is>
      </c>
      <c r="Q172" t="inlineStr">
        <is>
          <t>1.8</t>
        </is>
      </c>
    </row>
    <row r="173">
      <c r="A173" t="inlineStr">
        <is>
          <t>Grizzly XL YO</t>
        </is>
      </c>
      <c r="B173" t="inlineStr">
        <is>
          <t>Master Model G25 Grizzly XL Relapse_TwoAge_B10</t>
        </is>
      </c>
      <c r="C173" t="inlineStr">
        <is>
          <t>JAGS_Female_2000</t>
        </is>
      </c>
      <c r="D173" t="n">
        <v>0.05</v>
      </c>
      <c r="E173" t="inlineStr">
        <is>
          <t>Variable</t>
        </is>
      </c>
      <c r="F173" t="inlineStr">
        <is>
          <t>Smoking initiation and cessation variable</t>
        </is>
      </c>
      <c r="G173" t="inlineStr">
        <is>
          <t>68 - 72</t>
        </is>
      </c>
      <c r="H173" t="inlineStr">
        <is>
          <t>DIFF_ALL</t>
        </is>
      </c>
      <c r="I173" s="10" t="n">
        <v>8</v>
      </c>
      <c r="J173">
        <f>B173&amp;D173&amp;C173</f>
        <v/>
      </c>
      <c r="K173" s="10" t="n">
        <v>5</v>
      </c>
      <c r="L173" s="10">
        <f>ROUND(IF(ISNUMBER(SEARCH("Relapse",J173)),_xlfn.XLOOKUP(J173,'Pivot and Calcs'!A:A,'Pivot and Calcs'!T:T),I173),0)</f>
        <v/>
      </c>
      <c r="M173" t="n">
        <v>0.01</v>
      </c>
      <c r="N173" t="n">
        <v>0.009999999776482582</v>
      </c>
      <c r="O173" s="43" t="n">
        <v>46254.79303994213</v>
      </c>
      <c r="P173" t="inlineStr">
        <is>
          <t>3.0.0</t>
        </is>
      </c>
      <c r="Q173" t="inlineStr">
        <is>
          <t>1.8</t>
        </is>
      </c>
    </row>
    <row r="174">
      <c r="A174" t="inlineStr">
        <is>
          <t>Grizzly XL YO</t>
        </is>
      </c>
      <c r="B174" t="inlineStr">
        <is>
          <t>Master Model G25 Grizzly XL Relapse_TwoAge_B10</t>
        </is>
      </c>
      <c r="C174" t="inlineStr">
        <is>
          <t>JAGS_Female_2000</t>
        </is>
      </c>
      <c r="D174" t="n">
        <v>0.1</v>
      </c>
      <c r="E174" t="inlineStr">
        <is>
          <t>Variable</t>
        </is>
      </c>
      <c r="F174" t="inlineStr">
        <is>
          <t>Smoking initiation and cessation variable</t>
        </is>
      </c>
      <c r="G174" t="inlineStr">
        <is>
          <t>68 - 72</t>
        </is>
      </c>
      <c r="H174" t="inlineStr">
        <is>
          <t>DIFF_ALL</t>
        </is>
      </c>
      <c r="I174" s="10" t="n">
        <v>8</v>
      </c>
      <c r="J174">
        <f>B174&amp;D174&amp;C174</f>
        <v/>
      </c>
      <c r="K174" s="10" t="n">
        <v>4</v>
      </c>
      <c r="L174" s="10">
        <f>ROUND(IF(ISNUMBER(SEARCH("Relapse",J174)),_xlfn.XLOOKUP(J174,'Pivot and Calcs'!A:A,'Pivot and Calcs'!T:T),I174),0)</f>
        <v/>
      </c>
      <c r="M174" t="n">
        <v>0.01</v>
      </c>
      <c r="N174" t="n">
        <v>0.009999999776482582</v>
      </c>
      <c r="O174" s="43" t="n">
        <v>46254.79304046297</v>
      </c>
      <c r="P174" t="inlineStr">
        <is>
          <t>3.0.0</t>
        </is>
      </c>
      <c r="Q174" t="inlineStr">
        <is>
          <t>1.8</t>
        </is>
      </c>
    </row>
    <row r="175">
      <c r="A175" t="inlineStr">
        <is>
          <t>Grizzly XL YO</t>
        </is>
      </c>
      <c r="B175" t="inlineStr">
        <is>
          <t>Master Model G25 Grizzly XL Relapse_TwoAge_B11</t>
        </is>
      </c>
      <c r="C175" t="inlineStr">
        <is>
          <t>JAGS_Male_2000</t>
        </is>
      </c>
      <c r="D175" t="n">
        <v>0.05</v>
      </c>
      <c r="E175" t="inlineStr">
        <is>
          <t>Variable</t>
        </is>
      </c>
      <c r="F175" t="inlineStr">
        <is>
          <t>Smoking initiation and cessation variable</t>
        </is>
      </c>
      <c r="G175" t="inlineStr">
        <is>
          <t>68 - 72</t>
        </is>
      </c>
      <c r="H175" t="inlineStr">
        <is>
          <t>DIFF_ALL</t>
        </is>
      </c>
      <c r="I175" s="10" t="n">
        <v>2</v>
      </c>
      <c r="J175">
        <f>B175&amp;D175&amp;C175</f>
        <v/>
      </c>
      <c r="K175" s="10" t="n">
        <v>1</v>
      </c>
      <c r="L175" s="10">
        <f>ROUND(IF(ISNUMBER(SEARCH("Relapse",J175)),_xlfn.XLOOKUP(J175,'Pivot and Calcs'!A:A,'Pivot and Calcs'!T:T),I175),0)</f>
        <v/>
      </c>
      <c r="M175" t="n">
        <v>0.01</v>
      </c>
      <c r="N175" t="n">
        <v>0.009999999776482582</v>
      </c>
      <c r="O175" s="43" t="n">
        <v>46254.79322894676</v>
      </c>
      <c r="P175" t="inlineStr">
        <is>
          <t>3.0.0</t>
        </is>
      </c>
      <c r="Q175" t="inlineStr">
        <is>
          <t>1.8</t>
        </is>
      </c>
    </row>
    <row r="176">
      <c r="A176" t="inlineStr">
        <is>
          <t>Grizzly XL YO</t>
        </is>
      </c>
      <c r="B176" t="inlineStr">
        <is>
          <t>Master Model G25 Grizzly XL Relapse_TwoAge_B11</t>
        </is>
      </c>
      <c r="C176" t="inlineStr">
        <is>
          <t>JAGS_Male_2000</t>
        </is>
      </c>
      <c r="D176" t="n">
        <v>0.1</v>
      </c>
      <c r="E176" t="inlineStr">
        <is>
          <t>Variable</t>
        </is>
      </c>
      <c r="F176" t="inlineStr">
        <is>
          <t>Smoking initiation and cessation variable</t>
        </is>
      </c>
      <c r="G176" t="inlineStr">
        <is>
          <t>68 - 72</t>
        </is>
      </c>
      <c r="H176" t="inlineStr">
        <is>
          <t>DIFF_ALL</t>
        </is>
      </c>
      <c r="I176" s="10" t="n">
        <v>2</v>
      </c>
      <c r="J176">
        <f>B176&amp;D176&amp;C176</f>
        <v/>
      </c>
      <c r="K176" s="10" t="n">
        <v>1</v>
      </c>
      <c r="L176" s="10">
        <f>ROUND(IF(ISNUMBER(SEARCH("Relapse",J176)),_xlfn.XLOOKUP(J176,'Pivot and Calcs'!A:A,'Pivot and Calcs'!T:T),I176),0)</f>
        <v/>
      </c>
      <c r="M176" t="n">
        <v>0.01</v>
      </c>
      <c r="N176" t="n">
        <v>0.009999999776482582</v>
      </c>
      <c r="O176" s="43" t="n">
        <v>46254.79322952546</v>
      </c>
      <c r="P176" t="inlineStr">
        <is>
          <t>3.0.0</t>
        </is>
      </c>
      <c r="Q176" t="inlineStr">
        <is>
          <t>1.8</t>
        </is>
      </c>
    </row>
    <row r="177">
      <c r="A177" t="inlineStr">
        <is>
          <t>Grizzly XL YO</t>
        </is>
      </c>
      <c r="B177" t="inlineStr">
        <is>
          <t>Master Model G25 Grizzly XL Relapse_TwoAge_B11</t>
        </is>
      </c>
      <c r="C177" t="inlineStr">
        <is>
          <t>JAGS_Female_2000</t>
        </is>
      </c>
      <c r="D177" t="n">
        <v>0.05</v>
      </c>
      <c r="E177" t="inlineStr">
        <is>
          <t>Variable</t>
        </is>
      </c>
      <c r="F177" t="inlineStr">
        <is>
          <t>Smoking initiation and cessation variable</t>
        </is>
      </c>
      <c r="G177" t="inlineStr">
        <is>
          <t>68 - 72</t>
        </is>
      </c>
      <c r="H177" t="inlineStr">
        <is>
          <t>DIFF_ALL</t>
        </is>
      </c>
      <c r="I177" s="10" t="n">
        <v>2</v>
      </c>
      <c r="J177">
        <f>B177&amp;D177&amp;C177</f>
        <v/>
      </c>
      <c r="K177" s="10" t="n">
        <v>2</v>
      </c>
      <c r="L177" s="10">
        <f>ROUND(IF(ISNUMBER(SEARCH("Relapse",J177)),_xlfn.XLOOKUP(J177,'Pivot and Calcs'!A:A,'Pivot and Calcs'!T:T),I177),0)</f>
        <v/>
      </c>
      <c r="M177" t="n">
        <v>0.01</v>
      </c>
      <c r="N177" t="n">
        <v>0.009999999776482582</v>
      </c>
      <c r="O177" s="43" t="n">
        <v>46254.79322996527</v>
      </c>
      <c r="P177" t="inlineStr">
        <is>
          <t>3.0.0</t>
        </is>
      </c>
      <c r="Q177" t="inlineStr">
        <is>
          <t>1.8</t>
        </is>
      </c>
    </row>
    <row r="178">
      <c r="A178" t="inlineStr">
        <is>
          <t>Grizzly XL YO</t>
        </is>
      </c>
      <c r="B178" t="inlineStr">
        <is>
          <t>Master Model G25 Grizzly XL Relapse_TwoAge_B11</t>
        </is>
      </c>
      <c r="C178" t="inlineStr">
        <is>
          <t>JAGS_Female_2000</t>
        </is>
      </c>
      <c r="D178" t="n">
        <v>0.1</v>
      </c>
      <c r="E178" t="inlineStr">
        <is>
          <t>Variable</t>
        </is>
      </c>
      <c r="F178" t="inlineStr">
        <is>
          <t>Smoking initiation and cessation variable</t>
        </is>
      </c>
      <c r="G178" t="inlineStr">
        <is>
          <t>68 - 72</t>
        </is>
      </c>
      <c r="H178" t="inlineStr">
        <is>
          <t>DIFF_ALL</t>
        </is>
      </c>
      <c r="I178" s="10" t="n">
        <v>2</v>
      </c>
      <c r="J178">
        <f>B178&amp;D178&amp;C178</f>
        <v/>
      </c>
      <c r="K178" s="10" t="n">
        <v>2</v>
      </c>
      <c r="L178" s="10">
        <f>ROUND(IF(ISNUMBER(SEARCH("Relapse",J178)),_xlfn.XLOOKUP(J178,'Pivot and Calcs'!A:A,'Pivot and Calcs'!T:T),I178),0)</f>
        <v/>
      </c>
      <c r="M178" t="n">
        <v>0.01</v>
      </c>
      <c r="N178" t="n">
        <v>0.009999999776482582</v>
      </c>
      <c r="O178" s="43" t="n">
        <v>46254.79323039352</v>
      </c>
      <c r="P178" t="inlineStr">
        <is>
          <t>3.0.0</t>
        </is>
      </c>
      <c r="Q178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DPM Portal</dc:creator>
  <dc:title xmlns:dc="http://purl.org/dc/elements/1.1/">DPM Model Results</dc:title>
  <dc:subject xmlns:dc="http://purl.org/dc/elements/1.1/">Dynamic Population Model Results</dc:subject>
  <dcterms:created xmlns:dcterms="http://purl.org/dc/terms/" xmlns:xsi="http://www.w3.org/2001/XMLSchema-instance" xsi:type="dcterms:W3CDTF">2026-09-04T15:42:32Z</dcterms:created>
  <dcterms:modified xmlns:dcterms="http://purl.org/dc/terms/" xmlns:xsi="http://www.w3.org/2001/XMLSchema-instance" xsi:type="dcterms:W3CDTF">2026-09-04T15:42:33Z</dcterms:modified>
  <cp:lastModifiedBy>Yemi Odeyemi</cp:lastModifiedBy>
</cp:coreProperties>
</file>